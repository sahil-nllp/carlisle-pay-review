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undyrad.sharepoint.com/sites/Carlisle/Finance/C Health Finance/Payroll/6. Annual Pay Award/1 July 25/"/>
    </mc:Choice>
  </mc:AlternateContent>
  <xr:revisionPtr revIDLastSave="1029" documentId="13_ncr:1_{3DDCD2C4-9336-49EF-A1BD-031702E52DD8}" xr6:coauthVersionLast="47" xr6:coauthVersionMax="47" xr10:uidLastSave="{07403C2B-E56A-444F-B56C-D50806383A8E}"/>
  <bookViews>
    <workbookView xWindow="28725" yWindow="-120" windowWidth="29040" windowHeight="17520" activeTab="1" xr2:uid="{0C89EE2A-B528-43E5-9C8A-6E255E5648F6}"/>
  </bookViews>
  <sheets>
    <sheet name="Letter" sheetId="2" r:id="rId1"/>
    <sheet name="Data" sheetId="1" r:id="rId2"/>
    <sheet name="Other" sheetId="3" r:id="rId3"/>
  </sheets>
  <definedNames>
    <definedName name="ELIST">Data!$A$2:INDEX(Data!$A:$A,COUNTA(Data!$A:$A) )</definedName>
    <definedName name="EM">Data!$F$2:INDEX(Data!$F:$F,COUNTA(Data!$F:$F) )</definedName>
    <definedName name="_xlnm.Print_Area" localSheetId="0">Letter!$A$1:$A$34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1" i="1" l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A8" i="2" l="1"/>
  <c r="K4" i="2" l="1"/>
  <c r="K1" i="2" l="1"/>
  <c r="K3" i="2"/>
  <c r="K2" i="2"/>
  <c r="A18" i="2" l="1"/>
  <c r="A12" i="2"/>
</calcChain>
</file>

<file path=xl/sharedStrings.xml><?xml version="1.0" encoding="utf-8"?>
<sst xmlns="http://schemas.openxmlformats.org/spreadsheetml/2006/main" count="707" uniqueCount="519">
  <si>
    <t>First Name</t>
  </si>
  <si>
    <t>Email</t>
  </si>
  <si>
    <t>Old Pay-Rate</t>
  </si>
  <si>
    <t>New Pay-Rate</t>
  </si>
  <si>
    <t>Surname</t>
  </si>
  <si>
    <t>Subject:</t>
  </si>
  <si>
    <t>Contents:</t>
  </si>
  <si>
    <t>Increase in your Remuneration</t>
  </si>
  <si>
    <t>Please find attached correspondence regarding an increase in your remuneration</t>
  </si>
  <si>
    <t>Via Email Correspondence</t>
  </si>
  <si>
    <t>All other terms and conditions governing your employment continue to apply as per your current employment contract.</t>
  </si>
  <si>
    <t>Carlisle Health</t>
  </si>
  <si>
    <t>Path:</t>
  </si>
  <si>
    <t>#</t>
  </si>
  <si>
    <t>Re: Increase in your Remuneration</t>
  </si>
  <si>
    <t>On behalf of the Carlisle Health Management Team and Board, we would like to thank you for your ongoing contribution.
Yours Sincerely</t>
  </si>
  <si>
    <t>Shayne Troter</t>
  </si>
  <si>
    <t>General Manager, Operations</t>
  </si>
  <si>
    <t>Award Level</t>
  </si>
  <si>
    <t>% Increase</t>
  </si>
  <si>
    <t>lydiamlkk@gmail.com</t>
  </si>
  <si>
    <t>sandydang0610@gmail.com</t>
  </si>
  <si>
    <t>k.l.heron@outlook.com</t>
  </si>
  <si>
    <t>glc_92@hotmail.com</t>
  </si>
  <si>
    <t>caitlin.00.hayes@hotmail.com</t>
  </si>
  <si>
    <t>lydiamaree@live.com</t>
  </si>
  <si>
    <t>jake8810@bigpond.com</t>
  </si>
  <si>
    <t>angela.m.vanwijk@gmail.com</t>
  </si>
  <si>
    <t>becstar04@rocketmail.com</t>
  </si>
  <si>
    <t>lauralidster@gmail.com</t>
  </si>
  <si>
    <t>matthewntandodean@hotmail.com</t>
  </si>
  <si>
    <t>meri.grant@live.com.au</t>
  </si>
  <si>
    <t>gregoryharvey.236@gmail.com</t>
  </si>
  <si>
    <t>penelopesemail86@gmail.com</t>
  </si>
  <si>
    <t>mjmnmoller@yahoo.com.au</t>
  </si>
  <si>
    <t>Bloodangels@hotmail.com.au</t>
  </si>
  <si>
    <t>deanvs000@gmail.com</t>
  </si>
  <si>
    <t>97morgancox@gmail.com</t>
  </si>
  <si>
    <t>naomi_box93@hotmail.com</t>
  </si>
  <si>
    <t>ellayna1992@gmail.com</t>
  </si>
  <si>
    <t>kataedwards@hotmail.com</t>
  </si>
  <si>
    <t>leandrasauppsaunders@gmail.com</t>
  </si>
  <si>
    <t>bronwyn.evans@live.com</t>
  </si>
  <si>
    <t>emma.hoey@outlook.com.au</t>
  </si>
  <si>
    <t>pratibha.b@hotmail.com</t>
  </si>
  <si>
    <t>trinhho253@gmail.com</t>
  </si>
  <si>
    <t>suziewebster76@gmail.com</t>
  </si>
  <si>
    <t>collen.sandra65@yahoo.com</t>
  </si>
  <si>
    <t>sunnyside_193@hotmail.com</t>
  </si>
  <si>
    <t>mdmbom@gmail.com</t>
  </si>
  <si>
    <t>taehyun.moon@outlook.com</t>
  </si>
  <si>
    <t>annduffzim@gmail.com</t>
  </si>
  <si>
    <t>litho.urbanstray@gmail.com</t>
  </si>
  <si>
    <t>tenorkat26@gmail.com</t>
  </si>
  <si>
    <t>sophiahuynh2309@gmail.com</t>
  </si>
  <si>
    <t>drseemalal@yahoo.com.au</t>
  </si>
  <si>
    <t>melaniephilipson@gmail.com</t>
  </si>
  <si>
    <t>holly.dargusch@gmail.com</t>
  </si>
  <si>
    <t>matiesejones@gmail.com</t>
  </si>
  <si>
    <t>sheridanboys75@gmail.com</t>
  </si>
  <si>
    <t>nguyenhoangnhi99@gmail.com</t>
  </si>
  <si>
    <t>ebonyackland94@gmail.com</t>
  </si>
  <si>
    <t>Chippie0305@gmail.com</t>
  </si>
  <si>
    <t>saraayers@hotmail.com</t>
  </si>
  <si>
    <t>jess.sinclair91@gmail.com</t>
  </si>
  <si>
    <t>georgiaperfect05@gmail.com</t>
  </si>
  <si>
    <t>moniquelarsen3@gmail.com</t>
  </si>
  <si>
    <t>cassy91@live.com.au</t>
  </si>
  <si>
    <t>elaine.melville@outlook.com</t>
  </si>
  <si>
    <t>HPSS HP L2 PP1</t>
  </si>
  <si>
    <t>HPSS SS L7</t>
  </si>
  <si>
    <t>HPSS SS L6</t>
  </si>
  <si>
    <t>HPSS SS L5</t>
  </si>
  <si>
    <t>HPSS HP L2 PP2</t>
  </si>
  <si>
    <t>HPSS HP L2 PP3</t>
  </si>
  <si>
    <t>HPSS SS L4</t>
  </si>
  <si>
    <t>HPSS HP L2 PP4</t>
  </si>
  <si>
    <t>HPSS HP L3 PP5</t>
  </si>
  <si>
    <t>HPSS HP L3 PP1</t>
  </si>
  <si>
    <t>Ma</t>
  </si>
  <si>
    <t>Dang</t>
  </si>
  <si>
    <t>Heron</t>
  </si>
  <si>
    <t>Grant</t>
  </si>
  <si>
    <t>Hayes</t>
  </si>
  <si>
    <t>Campbell</t>
  </si>
  <si>
    <t>Stanley</t>
  </si>
  <si>
    <t>Van Wijk</t>
  </si>
  <si>
    <t>Smith</t>
  </si>
  <si>
    <t>Lidster</t>
  </si>
  <si>
    <t>Dean</t>
  </si>
  <si>
    <t>Harvey</t>
  </si>
  <si>
    <t>Ingram</t>
  </si>
  <si>
    <t>Moller</t>
  </si>
  <si>
    <t>Radin</t>
  </si>
  <si>
    <t>Von Senden</t>
  </si>
  <si>
    <t>Ratcliffe</t>
  </si>
  <si>
    <t>Engle</t>
  </si>
  <si>
    <t>Dutescu</t>
  </si>
  <si>
    <t>Nguyen</t>
  </si>
  <si>
    <t>Edwards</t>
  </si>
  <si>
    <t>Saupp-Saunders</t>
  </si>
  <si>
    <t>Huynh</t>
  </si>
  <si>
    <t>Evans</t>
  </si>
  <si>
    <t>Hoey</t>
  </si>
  <si>
    <t>Baniya</t>
  </si>
  <si>
    <t>Ho</t>
  </si>
  <si>
    <t>Webster</t>
  </si>
  <si>
    <t>Robertson</t>
  </si>
  <si>
    <t>Collen</t>
  </si>
  <si>
    <t>Sunley</t>
  </si>
  <si>
    <t>Chiu</t>
  </si>
  <si>
    <t>Moon</t>
  </si>
  <si>
    <t>Duff</t>
  </si>
  <si>
    <t>Fullerton</t>
  </si>
  <si>
    <t>Wilson</t>
  </si>
  <si>
    <t>Kumar</t>
  </si>
  <si>
    <t>Pennell</t>
  </si>
  <si>
    <t>Philipson</t>
  </si>
  <si>
    <t>Dargusch</t>
  </si>
  <si>
    <t>Jones</t>
  </si>
  <si>
    <t>Kelly</t>
  </si>
  <si>
    <t>Larsen</t>
  </si>
  <si>
    <t>Boys</t>
  </si>
  <si>
    <t>Wiemers</t>
  </si>
  <si>
    <t>Ackland</t>
  </si>
  <si>
    <t>Heath</t>
  </si>
  <si>
    <t>Buchholz</t>
  </si>
  <si>
    <t>Sinclair</t>
  </si>
  <si>
    <t>Perfect</t>
  </si>
  <si>
    <t>Holt</t>
  </si>
  <si>
    <t>Melville</t>
  </si>
  <si>
    <t>Lai</t>
  </si>
  <si>
    <t>Nguyen Phuong</t>
  </si>
  <si>
    <t>Kristie</t>
  </si>
  <si>
    <t>Georgina</t>
  </si>
  <si>
    <t>Caitlin</t>
  </si>
  <si>
    <t>Lydia</t>
  </si>
  <si>
    <t>Natalie</t>
  </si>
  <si>
    <t>Wendy</t>
  </si>
  <si>
    <t>Angela</t>
  </si>
  <si>
    <t>Rebecca</t>
  </si>
  <si>
    <t>Melanie</t>
  </si>
  <si>
    <t>Laura</t>
  </si>
  <si>
    <t>Matthew</t>
  </si>
  <si>
    <t>Merita</t>
  </si>
  <si>
    <t>Gregory</t>
  </si>
  <si>
    <t>Penelope</t>
  </si>
  <si>
    <t>Lachlan</t>
  </si>
  <si>
    <t>Morgan</t>
  </si>
  <si>
    <t>Naomi</t>
  </si>
  <si>
    <t>Ellayna</t>
  </si>
  <si>
    <t>Katrina</t>
  </si>
  <si>
    <t>Leandra</t>
  </si>
  <si>
    <t>Bronwyn</t>
  </si>
  <si>
    <t>Emma</t>
  </si>
  <si>
    <t>Pratibha</t>
  </si>
  <si>
    <t>Phuong Trinh</t>
  </si>
  <si>
    <t>Suzanne</t>
  </si>
  <si>
    <t>Kellyn</t>
  </si>
  <si>
    <t>Sandra</t>
  </si>
  <si>
    <t>Hannah</t>
  </si>
  <si>
    <t>Gin</t>
  </si>
  <si>
    <t>Tae Hyun</t>
  </si>
  <si>
    <t>Ann</t>
  </si>
  <si>
    <t>Michael</t>
  </si>
  <si>
    <t>Kathryn</t>
  </si>
  <si>
    <t>Sophia</t>
  </si>
  <si>
    <t>Seema</t>
  </si>
  <si>
    <t>Jordan</t>
  </si>
  <si>
    <t>Holly</t>
  </si>
  <si>
    <t>Matiese</t>
  </si>
  <si>
    <t>Sarah</t>
  </si>
  <si>
    <t>Tracey</t>
  </si>
  <si>
    <t>Sheridan</t>
  </si>
  <si>
    <t>Jessica</t>
  </si>
  <si>
    <t>Ebony</t>
  </si>
  <si>
    <t>Sharee</t>
  </si>
  <si>
    <t>Sara</t>
  </si>
  <si>
    <t>Fatima</t>
  </si>
  <si>
    <t>Charlotte</t>
  </si>
  <si>
    <t>Heather</t>
  </si>
  <si>
    <t>Georgia</t>
  </si>
  <si>
    <t>Monique</t>
  </si>
  <si>
    <t>Cassandra</t>
  </si>
  <si>
    <t>Elaine</t>
  </si>
  <si>
    <t>The rate of superannuation will also increase in line with national requirements from 11.5% for the 2024-25 financial year to 12.0% for the 2025-26 financial year. This applies to all employees.</t>
  </si>
  <si>
    <t>If you are unclear on anything contained in this correspondence, please contact HR on peopleandculture@carlislehealth.com.au.</t>
  </si>
  <si>
    <t>In recognition of changes in Award rates and as per Carlisle Pay &amp; Progression model for 2025-2026 and your continued commitment to the Carlisle Health Group, this letter is to confirm the business will be increasing your remuneration.</t>
  </si>
  <si>
    <t>This change will take be reflected in your pay for the fortnight ending 13 July 2025, i.e. the first full pay period of the new financial year.</t>
  </si>
  <si>
    <t>Email From:</t>
  </si>
  <si>
    <t>peopleandculture@carlislehealth.com.au</t>
  </si>
  <si>
    <t>Anna</t>
  </si>
  <si>
    <t>Nguyen-Huynh</t>
  </si>
  <si>
    <t>anna.huynh91@outlook.com</t>
  </si>
  <si>
    <t>Chi</t>
  </si>
  <si>
    <t>Wong</t>
  </si>
  <si>
    <t>francischiwong@gmail.com</t>
  </si>
  <si>
    <t>Helen</t>
  </si>
  <si>
    <t>helenta86@hotmail.com</t>
  </si>
  <si>
    <t>Soch</t>
  </si>
  <si>
    <t>Ngo</t>
  </si>
  <si>
    <t>muoitrang8@yahoo.com.au</t>
  </si>
  <si>
    <t>Thi</t>
  </si>
  <si>
    <t>oanhnitang@y7mail.com</t>
  </si>
  <si>
    <t>Lisa</t>
  </si>
  <si>
    <t>Stenberg</t>
  </si>
  <si>
    <t>Lisa.stenberg@lakesradiology.com.au</t>
  </si>
  <si>
    <t>Jenkins</t>
  </si>
  <si>
    <t>bec.mclane@gmail.com</t>
  </si>
  <si>
    <t>Renee</t>
  </si>
  <si>
    <t>Stunt</t>
  </si>
  <si>
    <t>renee.2525@hotmail.com</t>
  </si>
  <si>
    <t>Rochelle</t>
  </si>
  <si>
    <t>Luke</t>
  </si>
  <si>
    <t>rochelle_luke@yahoo.co.nz</t>
  </si>
  <si>
    <t>Emily</t>
  </si>
  <si>
    <t>Hyde</t>
  </si>
  <si>
    <t>emily_hyde@bigpond.com</t>
  </si>
  <si>
    <t>Sally</t>
  </si>
  <si>
    <t>Fulton</t>
  </si>
  <si>
    <t>sedmonds28@yahoo.com.au</t>
  </si>
  <si>
    <t>Stirling</t>
  </si>
  <si>
    <t>OConnor</t>
  </si>
  <si>
    <t>stirling.oconnor5@gmail.com</t>
  </si>
  <si>
    <t>Vicki</t>
  </si>
  <si>
    <t>Paterson</t>
  </si>
  <si>
    <t>vmitcherson@hotmail.com</t>
  </si>
  <si>
    <t>Morison</t>
  </si>
  <si>
    <t>Kelly.morison@beachrad.com.au</t>
  </si>
  <si>
    <t>O'Sullivan</t>
  </si>
  <si>
    <t>mickoathbs@bigpond.com</t>
  </si>
  <si>
    <t>David</t>
  </si>
  <si>
    <t>Allen</t>
  </si>
  <si>
    <t>davzilla60@hotmail.com</t>
  </si>
  <si>
    <t>kellynrobertson78@gmail.com</t>
  </si>
  <si>
    <t>Tracy</t>
  </si>
  <si>
    <t>Truong</t>
  </si>
  <si>
    <t>ttracytruong@hotmail.com</t>
  </si>
  <si>
    <t>Eileen</t>
  </si>
  <si>
    <t>Owens</t>
  </si>
  <si>
    <t>creuowens@gmail.com</t>
  </si>
  <si>
    <t>Zali</t>
  </si>
  <si>
    <t>Mochrie</t>
  </si>
  <si>
    <t>zali.tindale@gmail.com</t>
  </si>
  <si>
    <t>Bao-An</t>
  </si>
  <si>
    <t>Tran</t>
  </si>
  <si>
    <t>t_bao@hotmail.com</t>
  </si>
  <si>
    <t>Jade</t>
  </si>
  <si>
    <t>Serone</t>
  </si>
  <si>
    <t>jmajcug@hotmail.com</t>
  </si>
  <si>
    <t>Ah Young</t>
  </si>
  <si>
    <t>Mo</t>
  </si>
  <si>
    <t>kokori26@hotmail.com</t>
  </si>
  <si>
    <t>Julie</t>
  </si>
  <si>
    <t>Pham</t>
  </si>
  <si>
    <t>juliepham86@gmail.com</t>
  </si>
  <si>
    <t>Ljubica</t>
  </si>
  <si>
    <t>Trkulja</t>
  </si>
  <si>
    <t>l_trkulja@hotmail.com</t>
  </si>
  <si>
    <t>Rony</t>
  </si>
  <si>
    <t>Boctor</t>
  </si>
  <si>
    <t>ronyboctor@hotmail.com</t>
  </si>
  <si>
    <t>HPSS HP L4 PP4</t>
  </si>
  <si>
    <t>Vanessa</t>
  </si>
  <si>
    <t>Johns</t>
  </si>
  <si>
    <t>tigerness9@hotmail.com</t>
  </si>
  <si>
    <t>Rachel</t>
  </si>
  <si>
    <t>Kerkhofs</t>
  </si>
  <si>
    <t>rachelkerkhofs@gmail.com</t>
  </si>
  <si>
    <t>Rosanne</t>
  </si>
  <si>
    <t>rosannelao@gmail.com</t>
  </si>
  <si>
    <t>hkelly3@bigpond.com</t>
  </si>
  <si>
    <t>Paula</t>
  </si>
  <si>
    <t>O'Brien</t>
  </si>
  <si>
    <t>paulanshane@outlook.com</t>
  </si>
  <si>
    <t>Margaret</t>
  </si>
  <si>
    <t>McLeod</t>
  </si>
  <si>
    <t>margiemcleod1464@gmail.com</t>
  </si>
  <si>
    <t>Luiza</t>
  </si>
  <si>
    <t>Fedley</t>
  </si>
  <si>
    <t>lpit65@yahoo.com.au</t>
  </si>
  <si>
    <t>Susanne</t>
  </si>
  <si>
    <t>Fritz</t>
  </si>
  <si>
    <t>susanne.fritz@cqumail.com</t>
  </si>
  <si>
    <t>Deepa</t>
  </si>
  <si>
    <t>Chandrahasan</t>
  </si>
  <si>
    <t>deepachandrahasan@gmail.com</t>
  </si>
  <si>
    <t>Thi Phuong Anh</t>
  </si>
  <si>
    <t>Do</t>
  </si>
  <si>
    <t>annrooney70@yahoo.com</t>
  </si>
  <si>
    <t>Natasha</t>
  </si>
  <si>
    <t>Kazich</t>
  </si>
  <si>
    <t>kazich@optusnet.com.au</t>
  </si>
  <si>
    <t>Erika</t>
  </si>
  <si>
    <t>Morris</t>
  </si>
  <si>
    <t>littlemorrisfamily@yahoo.com.au</t>
  </si>
  <si>
    <t>Lavega</t>
  </si>
  <si>
    <t>Malie</t>
  </si>
  <si>
    <t>jnrloto@yahoo.com.au</t>
  </si>
  <si>
    <t>Moriam</t>
  </si>
  <si>
    <t>Khin</t>
  </si>
  <si>
    <t>mmoriam5@gmail.com</t>
  </si>
  <si>
    <t>Carl</t>
  </si>
  <si>
    <t>Kanowski</t>
  </si>
  <si>
    <t>Carl.Kanowski@gmail.com</t>
  </si>
  <si>
    <t>Gomez</t>
  </si>
  <si>
    <t>sarah.gomeez@me.com</t>
  </si>
  <si>
    <t>Mohamad Ali</t>
  </si>
  <si>
    <t>Hammoud</t>
  </si>
  <si>
    <t>ma_hammoud@yahoo.com.au</t>
  </si>
  <si>
    <t>Hareb</t>
  </si>
  <si>
    <t>fatima.hareb20@hotmail.com</t>
  </si>
  <si>
    <t>Carly</t>
  </si>
  <si>
    <t>Jackson</t>
  </si>
  <si>
    <t>carlymjackson@outlook.com.au</t>
  </si>
  <si>
    <t>Fiona</t>
  </si>
  <si>
    <t>Kaushal</t>
  </si>
  <si>
    <t>fionakaushal@hotmail.com</t>
  </si>
  <si>
    <t>Kellie</t>
  </si>
  <si>
    <t>Lyth</t>
  </si>
  <si>
    <t>nklyth@gmail.com</t>
  </si>
  <si>
    <t>Renae</t>
  </si>
  <si>
    <t>Smillie</t>
  </si>
  <si>
    <t>renaeandjack@gmail.com</t>
  </si>
  <si>
    <t>Villanueva</t>
  </si>
  <si>
    <t>naa.villa91@gmail.com</t>
  </si>
  <si>
    <t>Wall</t>
  </si>
  <si>
    <t>kate.caldwell@live.com.au</t>
  </si>
  <si>
    <t>Mika</t>
  </si>
  <si>
    <t>Yamafuji</t>
  </si>
  <si>
    <t>mikayamafuji@gmail.com</t>
  </si>
  <si>
    <t>Dixon</t>
  </si>
  <si>
    <t>trace1174@bigpond.com.au</t>
  </si>
  <si>
    <t>Manly</t>
  </si>
  <si>
    <t>Vuong</t>
  </si>
  <si>
    <t>manlyv@hotmail.com</t>
  </si>
  <si>
    <t>HPSS HP L1 PP5</t>
  </si>
  <si>
    <t>Gretta</t>
  </si>
  <si>
    <t>Berge</t>
  </si>
  <si>
    <t>gretta.berge27@gmail.com</t>
  </si>
  <si>
    <t>Marlandie</t>
  </si>
  <si>
    <t>Botha</t>
  </si>
  <si>
    <t>smbotha@outlook.com</t>
  </si>
  <si>
    <t>Long</t>
  </si>
  <si>
    <t>lonjd001@mymail.unisa.edu.au</t>
  </si>
  <si>
    <t>Hoang</t>
  </si>
  <si>
    <t>Tori</t>
  </si>
  <si>
    <t>Stone</t>
  </si>
  <si>
    <t>torijaestone@gmail.com</t>
  </si>
  <si>
    <t>Vannessa</t>
  </si>
  <si>
    <t>Rider</t>
  </si>
  <si>
    <t>vannessag1970@gmail.com</t>
  </si>
  <si>
    <t>Danielle</t>
  </si>
  <si>
    <t>Kynaston</t>
  </si>
  <si>
    <t>dee-tupper@hotmail.com</t>
  </si>
  <si>
    <t>Hoban</t>
  </si>
  <si>
    <t>renaebrenton@live.com.au</t>
  </si>
  <si>
    <t>Saffron</t>
  </si>
  <si>
    <t>emmy_maddison@hotmail.com</t>
  </si>
  <si>
    <t>Tayla</t>
  </si>
  <si>
    <t>Connolly</t>
  </si>
  <si>
    <t>taylaconnolly4@gmail.com</t>
  </si>
  <si>
    <t>Stephanie</t>
  </si>
  <si>
    <t>Perks</t>
  </si>
  <si>
    <t>sperks21@outlook.com</t>
  </si>
  <si>
    <t>Reagan</t>
  </si>
  <si>
    <t>Bruin</t>
  </si>
  <si>
    <t>reagan.bruin01@gmail.com</t>
  </si>
  <si>
    <t>Minh Chau</t>
  </si>
  <si>
    <t>Hua</t>
  </si>
  <si>
    <t>j.m.hua@outlook.com</t>
  </si>
  <si>
    <t>Annabelle</t>
  </si>
  <si>
    <t>Bein</t>
  </si>
  <si>
    <t>annabellebein@outlook.com</t>
  </si>
  <si>
    <t>Gabrielle</t>
  </si>
  <si>
    <t>De Bakker</t>
  </si>
  <si>
    <t>gabbylavina101@gmail.com</t>
  </si>
  <si>
    <t>Lucy</t>
  </si>
  <si>
    <t>Nagy</t>
  </si>
  <si>
    <t>lucy.m.nagy@gmail.com</t>
  </si>
  <si>
    <t>Allatta</t>
  </si>
  <si>
    <t>charlotte.allatta@gmail.com</t>
  </si>
  <si>
    <t>Daniela</t>
  </si>
  <si>
    <t>Bouyioukos</t>
  </si>
  <si>
    <t>danielamarie096@gmail.com</t>
  </si>
  <si>
    <t>Elizabeth</t>
  </si>
  <si>
    <t>Gumbley</t>
  </si>
  <si>
    <t>lizzy_85@hotmail.com</t>
  </si>
  <si>
    <t>Fangjing</t>
  </si>
  <si>
    <t>Zhao</t>
  </si>
  <si>
    <t>zfjjane@gmail.com</t>
  </si>
  <si>
    <t>Gretel</t>
  </si>
  <si>
    <t>Testa</t>
  </si>
  <si>
    <t>greteltesta@gmail.com</t>
  </si>
  <si>
    <t>Jacqueline</t>
  </si>
  <si>
    <t>Harley</t>
  </si>
  <si>
    <t>jackiharley@tpg.com.au</t>
  </si>
  <si>
    <t>Jennie</t>
  </si>
  <si>
    <t>jennieho12@gmail.com</t>
  </si>
  <si>
    <t>Martelli</t>
  </si>
  <si>
    <t>jessp_91@hotmail.com</t>
  </si>
  <si>
    <t>HPSS HP L3 PP4</t>
  </si>
  <si>
    <t>Trinh</t>
  </si>
  <si>
    <t>jessicaea_@live.com</t>
  </si>
  <si>
    <t>HPSS HP L3 PP3</t>
  </si>
  <si>
    <t>John</t>
  </si>
  <si>
    <t>Garland</t>
  </si>
  <si>
    <t>johnny.08@live.com.au</t>
  </si>
  <si>
    <t>Hughes</t>
  </si>
  <si>
    <t>hughes.jordan@outlook.com</t>
  </si>
  <si>
    <t>Julie-Maree</t>
  </si>
  <si>
    <t>Glover</t>
  </si>
  <si>
    <t>jmg0968@gmail.com</t>
  </si>
  <si>
    <t>Kale</t>
  </si>
  <si>
    <t>pennellkale@gmail.com</t>
  </si>
  <si>
    <t>Kirby</t>
  </si>
  <si>
    <t>Gordon</t>
  </si>
  <si>
    <t>kirbyboz@hotmail.com</t>
  </si>
  <si>
    <t>McKay</t>
  </si>
  <si>
    <t>lachlan.mckay0@gmail.com</t>
  </si>
  <si>
    <t>Megan</t>
  </si>
  <si>
    <t>Le Lievre</t>
  </si>
  <si>
    <t>meganlelievre89@gmail.com</t>
  </si>
  <si>
    <t>Melissa</t>
  </si>
  <si>
    <t>melissado473@gmail.com</t>
  </si>
  <si>
    <t>Michele</t>
  </si>
  <si>
    <t>Dowling</t>
  </si>
  <si>
    <t>micheledowling@gmail.com</t>
  </si>
  <si>
    <t>Rukaya</t>
  </si>
  <si>
    <t>Mouti</t>
  </si>
  <si>
    <t>rmouti@hotmail.com</t>
  </si>
  <si>
    <t>Shirinder</t>
  </si>
  <si>
    <t>Dhillon</t>
  </si>
  <si>
    <t>sherin_d@hotmail.com</t>
  </si>
  <si>
    <t>Sonia</t>
  </si>
  <si>
    <t>Hilliard</t>
  </si>
  <si>
    <t>sonia.hilliard11@outlook.com</t>
  </si>
  <si>
    <t>Urvi</t>
  </si>
  <si>
    <t>Karelia</t>
  </si>
  <si>
    <t>pujaacharya88@gmail.com</t>
  </si>
  <si>
    <t>Cornish</t>
  </si>
  <si>
    <t>vickicornish64@gmail.com</t>
  </si>
  <si>
    <t>Ashfield-Smith</t>
  </si>
  <si>
    <t>vickiellul@hotmail.com</t>
  </si>
  <si>
    <t>Vivien</t>
  </si>
  <si>
    <t>tranvivien55@gmail.com</t>
  </si>
  <si>
    <t>Zeinab</t>
  </si>
  <si>
    <t>Farhat</t>
  </si>
  <si>
    <t>zeinabfarhat022@gmail.com</t>
  </si>
  <si>
    <t>Courtney</t>
  </si>
  <si>
    <t>Chapman</t>
  </si>
  <si>
    <t>cmitch87@hotmail.com</t>
  </si>
  <si>
    <t>Melvold</t>
  </si>
  <si>
    <t>daniellemelvold@gmail.com</t>
  </si>
  <si>
    <t>Eleanor</t>
  </si>
  <si>
    <t>Grose</t>
  </si>
  <si>
    <t>egrose@me.com</t>
  </si>
  <si>
    <t>Leong</t>
  </si>
  <si>
    <t>glbedwell@gmail.com</t>
  </si>
  <si>
    <t>Israa</t>
  </si>
  <si>
    <t>Naboulsi</t>
  </si>
  <si>
    <t>israa.naboulsi10@gmail.com</t>
  </si>
  <si>
    <t>Jane</t>
  </si>
  <si>
    <t>Britt</t>
  </si>
  <si>
    <t>janey8383@hotmail.com</t>
  </si>
  <si>
    <t>Glendinning</t>
  </si>
  <si>
    <t>kellyandpg@hotmail.com</t>
  </si>
  <si>
    <t>Raheel</t>
  </si>
  <si>
    <t>Issah Issaka</t>
  </si>
  <si>
    <t>raheel.issah.issaka@gmail.com</t>
  </si>
  <si>
    <t>Janette</t>
  </si>
  <si>
    <t>Slater</t>
  </si>
  <si>
    <t>jen43195@gmail.com</t>
  </si>
  <si>
    <t>Mathieson</t>
  </si>
  <si>
    <t>sarah.mathieson1@gmail.com</t>
  </si>
  <si>
    <t>Kirsty</t>
  </si>
  <si>
    <t>Lemon</t>
  </si>
  <si>
    <t>kirstymarie@outlook.com.au</t>
  </si>
  <si>
    <t>Disha</t>
  </si>
  <si>
    <t>Rabari</t>
  </si>
  <si>
    <t>rabaridisha5@gmail.com</t>
  </si>
  <si>
    <t>Carter</t>
  </si>
  <si>
    <t>xostephcarter@gmail.com</t>
  </si>
  <si>
    <t>Larissa</t>
  </si>
  <si>
    <t>Rankin</t>
  </si>
  <si>
    <t>l-rankin@outlook.com</t>
  </si>
  <si>
    <t>Cathy</t>
  </si>
  <si>
    <t>McKenna</t>
  </si>
  <si>
    <t>cathymckenna111@gmail.com</t>
  </si>
  <si>
    <t>Manning-Fuller</t>
  </si>
  <si>
    <t>manningfullerjade@gmail.com</t>
  </si>
  <si>
    <t>Katelyn</t>
  </si>
  <si>
    <t>Davey</t>
  </si>
  <si>
    <t>katelyn.davey@bigpond.com</t>
  </si>
  <si>
    <t>Stewart</t>
  </si>
  <si>
    <t>nellystewart95@gmail.com</t>
  </si>
  <si>
    <t>Hayley</t>
  </si>
  <si>
    <t>Soligo</t>
  </si>
  <si>
    <t>hayleyjayde22@gmail.com</t>
  </si>
  <si>
    <t>Gray</t>
  </si>
  <si>
    <t>charlottegray75@gmail.com</t>
  </si>
  <si>
    <t>Kaylee</t>
  </si>
  <si>
    <t>Cox</t>
  </si>
  <si>
    <t>kayleeann_21@outlook.com</t>
  </si>
  <si>
    <t>Brittany</t>
  </si>
  <si>
    <t>Niethe</t>
  </si>
  <si>
    <t>brittany_may1@hotmail.com</t>
  </si>
  <si>
    <t>Lita</t>
  </si>
  <si>
    <t>Snowden</t>
  </si>
  <si>
    <t>lita.snowden@gmail.com</t>
  </si>
  <si>
    <t>Noble</t>
  </si>
  <si>
    <t>emma.noble3@outlook.com</t>
  </si>
  <si>
    <t>Thao</t>
  </si>
  <si>
    <t>t.thao@outlook.com</t>
  </si>
  <si>
    <t>Mariam</t>
  </si>
  <si>
    <t>Saad</t>
  </si>
  <si>
    <t>marysaad430@gmail.com</t>
  </si>
  <si>
    <t>C:\Users\TomYoung\Carlisle Health\Carlisle - Finance\C Health Finance\Payroll\6. Annual Pay Award\1 July 25\Letter A</t>
  </si>
  <si>
    <t>jefy_185@hotmail.com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</si>
</sst>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  <numFmt numFmtId="165" formatCode="0.0%"/>
    <numFmt numFmtId="166" formatCode="_(* #,##0.00_);_(* \(#,##0.00\);_(* &quot;-&quot;??_);_(@_)"/>
    <numFmt numFmtId="167" formatCode="_(&quot;$&quot;* #,##0.00_);_(&quot;$&quot;* \(#,##0.00\);_(&quot;$&quot;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0" fontId="6" fillId="0" borderId="0"/>
    <xf numFmtId="0" fontId="7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65" fontId="0" fillId="0" borderId="0" xfId="1" applyNumberFormat="1" applyFont="1"/>
    <xf numFmtId="164" fontId="0" fillId="0" borderId="0" xfId="0" applyNumberFormat="1"/>
    <xf numFmtId="164" fontId="2" fillId="0" borderId="0" xfId="0" applyNumberFormat="1" applyFont="1"/>
    <xf numFmtId="0" fontId="7" fillId="0" borderId="0" xfId="3"/>
    <xf numFmtId="0" fontId="7" fillId="2" borderId="0" xfId="3" applyFill="1"/>
    <xf numFmtId="0" fontId="8" fillId="0" borderId="0" xfId="0" applyFont="1"/>
    <xf numFmtId="44" fontId="9" fillId="0" borderId="0" xfId="5" applyFont="1" applyFill="1" applyBorder="1" applyAlignment="1">
      <alignment horizontal="right"/>
    </xf>
    <xf numFmtId="0" fontId="8" fillId="0" borderId="0" xfId="0" applyFont="1" applyAlignment="1">
      <alignment horizontal="center"/>
    </xf>
    <xf numFmtId="0" fontId="8" fillId="3" borderId="0" xfId="0" applyFont="1" applyFill="1"/>
    <xf numFmtId="0" fontId="10" fillId="0" borderId="0" xfId="0" applyFont="1"/>
    <xf numFmtId="44" fontId="10" fillId="0" borderId="0" xfId="5" applyFont="1" applyFill="1" applyBorder="1" applyAlignment="1">
      <alignment horizontal="right"/>
    </xf>
    <xf numFmtId="0" fontId="10" fillId="0" borderId="0" xfId="0" applyFont="1" applyAlignment="1">
      <alignment horizontal="center"/>
    </xf>
    <xf numFmtId="0" fontId="9" fillId="0" borderId="0" xfId="0" applyFont="1"/>
    <xf numFmtId="166" fontId="9" fillId="0" borderId="0" xfId="4" applyNumberFormat="1" applyFont="1" applyFill="1" applyBorder="1"/>
    <xf numFmtId="167" fontId="9" fillId="0" borderId="0" xfId="5" applyNumberFormat="1" applyFont="1" applyFill="1" applyBorder="1" applyAlignment="1">
      <alignment horizontal="right"/>
    </xf>
    <xf numFmtId="0" fontId="9" fillId="0" borderId="0" xfId="0" applyFont="1" applyAlignment="1">
      <alignment horizontal="center"/>
    </xf>
    <xf numFmtId="0" fontId="8" fillId="4" borderId="0" xfId="0" applyFont="1" applyFill="1" applyAlignment="1">
      <alignment horizontal="center"/>
    </xf>
    <xf numFmtId="167" fontId="9" fillId="5" borderId="0" xfId="5" applyNumberFormat="1" applyFont="1" applyFill="1" applyBorder="1" applyAlignment="1">
      <alignment horizontal="right"/>
    </xf>
  </cellXfs>
  <cellStyles count="6">
    <cellStyle name="Comma" xfId="4" builtinId="3"/>
    <cellStyle name="Currency" xfId="5" builtinId="4"/>
    <cellStyle name="Hyperlink" xfId="3" builtinId="8"/>
    <cellStyle name="Normal" xfId="0" builtinId="0"/>
    <cellStyle name="Normal 3" xfId="2" xr:uid="{FE4718FC-F024-41A8-BA2F-A8E08FB28CE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28</xdr:row>
      <xdr:rowOff>66675</xdr:rowOff>
    </xdr:from>
    <xdr:to>
      <xdr:col>0</xdr:col>
      <xdr:colOff>1393143</xdr:colOff>
      <xdr:row>31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7048500"/>
          <a:ext cx="1351233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4286250</xdr:colOff>
      <xdr:row>0</xdr:row>
      <xdr:rowOff>142875</xdr:rowOff>
    </xdr:from>
    <xdr:to>
      <xdr:col>0</xdr:col>
      <xdr:colOff>5905509</xdr:colOff>
      <xdr:row>3</xdr:row>
      <xdr:rowOff>3177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7321B2F-E732-75F0-116C-C6E85B0DA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0" y="142875"/>
          <a:ext cx="1619259" cy="4318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542925</xdr:colOff>
          <xdr:row>2</xdr:row>
          <xdr:rowOff>9525</xdr:rowOff>
        </xdr:from>
        <xdr:to>
          <xdr:col>11</xdr:col>
          <xdr:colOff>28575</xdr:colOff>
          <xdr:row>4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peopleandculture@carlislehealth.com.au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4D37B-8B32-4151-94A9-AD7D9F83B3D5}">
  <sheetPr codeName="Sheet1"/>
  <dimension ref="A1:K34"/>
  <sheetViews>
    <sheetView zoomScaleNormal="100" workbookViewId="0">
      <selection activeCell="D13" sqref="D13"/>
    </sheetView>
  </sheetViews>
  <sheetFormatPr defaultRowHeight="15" x14ac:dyDescent="0.25"/>
  <cols>
    <col min="1" max="1" width="91.42578125" customWidth="1"/>
    <col min="11" max="11" width="12.42578125" bestFit="1" customWidth="1"/>
  </cols>
  <sheetData>
    <row r="1" spans="1:11" x14ac:dyDescent="0.25">
      <c r="J1">
        <v>170</v>
      </c>
      <c r="K1" t="str">
        <f>VLOOKUP(J1,Data!A:F,2,FALSE)&amp; " "&amp;VLOOKUP(J1,Data!A:F,3,FALSE)</f>
        <v>Mariam Saad</v>
      </c>
    </row>
    <row r="2" spans="1:11" x14ac:dyDescent="0.25">
      <c r="K2">
        <f>VLOOKUP(J1,Data!A:F,4,FALSE)</f>
        <v>28.09</v>
      </c>
    </row>
    <row r="3" spans="1:11" x14ac:dyDescent="0.25">
      <c r="K3">
        <f>VLOOKUP(J1,Data!A:F,5,FALSE)</f>
        <v>29.12</v>
      </c>
    </row>
    <row r="4" spans="1:11" x14ac:dyDescent="0.25">
      <c r="K4" t="str">
        <f>VLOOKUP(J1,Data!A:H,8,FALSE)</f>
        <v>HPSS SS L5</v>
      </c>
    </row>
    <row r="8" spans="1:11" x14ac:dyDescent="0.25">
      <c r="A8" s="4">
        <f ca="1">TODAY()</f>
        <v>46168</v>
      </c>
    </row>
    <row r="10" spans="1:11" x14ac:dyDescent="0.25">
      <c r="A10" t="s">
        <v>9</v>
      </c>
    </row>
    <row r="12" spans="1:11" x14ac:dyDescent="0.25">
      <c r="A12" t="str">
        <f>"Dear "&amp;K1</f>
        <v>Dear Mariam Saad</v>
      </c>
    </row>
    <row r="14" spans="1:11" x14ac:dyDescent="0.25">
      <c r="A14" t="s">
        <v>14</v>
      </c>
    </row>
    <row r="16" spans="1:11" ht="45" x14ac:dyDescent="0.25">
      <c r="A16" s="3" t="s">
        <v>187</v>
      </c>
    </row>
    <row r="18" spans="1:1" ht="30" x14ac:dyDescent="0.25">
      <c r="A18" s="3" t="str">
        <f>"Your Hourly Rate per your contract will be increased from "&amp;TEXT(K2,"$#,###.00")&amp;" per hour to "&amp;TEXT(K3,"$#,###.00")&amp;" per hour (exclusive of superannuation). Your level under the Award is: "&amp;TEXT(K4,"###")&amp;""</f>
        <v>Your Hourly Rate per your contract will be increased from $28.09 per hour to $29.12 per hour (exclusive of superannuation). Your level under the Award is: HPSS SS L5</v>
      </c>
    </row>
    <row r="20" spans="1:1" ht="30" x14ac:dyDescent="0.25">
      <c r="A20" s="3" t="s">
        <v>188</v>
      </c>
    </row>
    <row r="22" spans="1:1" ht="30" x14ac:dyDescent="0.25">
      <c r="A22" s="3" t="s">
        <v>185</v>
      </c>
    </row>
    <row r="24" spans="1:1" ht="30" x14ac:dyDescent="0.25">
      <c r="A24" s="3" t="s">
        <v>10</v>
      </c>
    </row>
    <row r="26" spans="1:1" ht="30" x14ac:dyDescent="0.25">
      <c r="A26" s="3" t="s">
        <v>186</v>
      </c>
    </row>
    <row r="28" spans="1:1" ht="60" x14ac:dyDescent="0.25">
      <c r="A28" s="3" t="s">
        <v>15</v>
      </c>
    </row>
    <row r="32" spans="1:1" x14ac:dyDescent="0.25">
      <c r="A32" t="s">
        <v>16</v>
      </c>
    </row>
    <row r="33" spans="1:1" x14ac:dyDescent="0.25">
      <c r="A33" t="s">
        <v>17</v>
      </c>
    </row>
    <row r="34" spans="1:1" x14ac:dyDescent="0.25">
      <c r="A34" t="s">
        <v>11</v>
      </c>
    </row>
  </sheetData>
  <dataValidations count="1">
    <dataValidation type="list" allowBlank="1" showInputMessage="1" showErrorMessage="1" sqref="J1" xr:uid="{EEC118F7-9BB3-4B69-B044-AAFCF17AB784}">
      <formula1>ELIST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4AB5A-6156-48FA-B385-27F943F7FECE}">
  <sheetPr codeName="Sheet2"/>
  <dimension ref="A1:O171"/>
  <sheetViews>
    <sheetView tabSelected="1" workbookViewId="0">
      <selection activeCell="O17" sqref="O17"/>
    </sheetView>
  </sheetViews>
  <sheetFormatPr defaultRowHeight="15" x14ac:dyDescent="0.25"/>
  <cols>
    <col min="2" max="2" width="10" bestFit="1" customWidth="1"/>
    <col min="3" max="3" width="12" bestFit="1" customWidth="1"/>
    <col min="4" max="5" width="12.85546875" style="6" bestFit="1" customWidth="1"/>
    <col min="6" max="6" width="50.7109375" customWidth="1"/>
    <col min="7" max="7" width="10.140625" bestFit="1" customWidth="1"/>
  </cols>
  <sheetData>
    <row r="1" spans="1:15" x14ac:dyDescent="0.25">
      <c r="A1" t="s">
        <v>13</v>
      </c>
      <c r="B1" s="2" t="s">
        <v>0</v>
      </c>
      <c r="C1" s="2" t="s">
        <v>4</v>
      </c>
      <c r="D1" s="7" t="s">
        <v>2</v>
      </c>
      <c r="E1" s="7" t="s">
        <v>3</v>
      </c>
      <c r="F1" s="1" t="s">
        <v>1</v>
      </c>
      <c r="G1" s="1" t="s">
        <v>19</v>
      </c>
      <c r="H1" s="1" t="s">
        <v>18</v>
      </c>
      <c r="J1" t="s">
        <v>12</v>
      </c>
      <c r="K1" t="s">
        <v>517</v>
      </c>
    </row>
    <row r="2" spans="1:15" x14ac:dyDescent="0.25">
      <c r="A2">
        <v>1</v>
      </c>
      <c r="B2" s="10" t="s">
        <v>191</v>
      </c>
      <c r="C2" s="10" t="s">
        <v>192</v>
      </c>
      <c r="D2" s="11">
        <v>66</v>
      </c>
      <c r="E2" s="11">
        <v>67.319999999999993</v>
      </c>
      <c r="F2" s="12" t="s">
        <v>193</v>
      </c>
      <c r="G2" s="5">
        <f>(E2-D2)/D2</f>
        <v>1.9999999999999896E-2</v>
      </c>
      <c r="H2" s="10" t="s">
        <v>77</v>
      </c>
    </row>
    <row r="3" spans="1:15" x14ac:dyDescent="0.25">
      <c r="A3">
        <v>2</v>
      </c>
      <c r="B3" s="10" t="s">
        <v>194</v>
      </c>
      <c r="C3" s="10" t="s">
        <v>195</v>
      </c>
      <c r="D3" s="11">
        <v>71.415999999999997</v>
      </c>
      <c r="E3" s="11">
        <v>72.844319999999996</v>
      </c>
      <c r="F3" s="12" t="s">
        <v>196</v>
      </c>
      <c r="G3" s="5">
        <f t="shared" ref="G3:G66" si="0">(E3-D3)/D3</f>
        <v>1.9999999999999993E-2</v>
      </c>
      <c r="H3" s="10" t="s">
        <v>77</v>
      </c>
    </row>
    <row r="4" spans="1:15" x14ac:dyDescent="0.25">
      <c r="A4">
        <v>3</v>
      </c>
      <c r="B4" s="10" t="s">
        <v>161</v>
      </c>
      <c r="C4" s="10" t="s">
        <v>110</v>
      </c>
      <c r="D4" s="11">
        <v>48</v>
      </c>
      <c r="E4" s="11">
        <v>55</v>
      </c>
      <c r="F4" s="12" t="s">
        <v>49</v>
      </c>
      <c r="G4" s="5">
        <f t="shared" si="0"/>
        <v>0.14583333333333334</v>
      </c>
      <c r="H4" s="10" t="s">
        <v>76</v>
      </c>
    </row>
    <row r="5" spans="1:15" x14ac:dyDescent="0.25">
      <c r="A5">
        <v>4</v>
      </c>
      <c r="B5" s="10" t="s">
        <v>197</v>
      </c>
      <c r="C5" s="10" t="s">
        <v>98</v>
      </c>
      <c r="D5" s="11">
        <v>65.209999999999994</v>
      </c>
      <c r="E5" s="11">
        <v>66.514199999999988</v>
      </c>
      <c r="F5" s="12" t="s">
        <v>198</v>
      </c>
      <c r="G5" s="5">
        <f t="shared" si="0"/>
        <v>1.9999999999999917E-2</v>
      </c>
      <c r="H5" s="10" t="s">
        <v>76</v>
      </c>
      <c r="M5" t="s">
        <v>189</v>
      </c>
      <c r="N5" s="9" t="s">
        <v>190</v>
      </c>
    </row>
    <row r="6" spans="1:15" x14ac:dyDescent="0.25">
      <c r="A6">
        <v>5</v>
      </c>
      <c r="B6" s="10" t="s">
        <v>199</v>
      </c>
      <c r="C6" s="10" t="s">
        <v>200</v>
      </c>
      <c r="D6" s="11">
        <v>41.81</v>
      </c>
      <c r="E6" s="11">
        <v>45</v>
      </c>
      <c r="F6" s="12" t="s">
        <v>201</v>
      </c>
      <c r="G6" s="5">
        <f t="shared" si="0"/>
        <v>7.6297536474527569E-2</v>
      </c>
      <c r="H6" s="10" t="s">
        <v>70</v>
      </c>
    </row>
    <row r="7" spans="1:15" x14ac:dyDescent="0.25">
      <c r="A7">
        <v>6</v>
      </c>
      <c r="B7" s="10" t="s">
        <v>202</v>
      </c>
      <c r="C7" s="10" t="s">
        <v>98</v>
      </c>
      <c r="D7" s="11">
        <v>56</v>
      </c>
      <c r="E7" s="11">
        <v>57.12</v>
      </c>
      <c r="F7" s="12" t="s">
        <v>203</v>
      </c>
      <c r="G7" s="5">
        <f t="shared" si="0"/>
        <v>1.9999999999999955E-2</v>
      </c>
      <c r="H7" s="10" t="s">
        <v>76</v>
      </c>
    </row>
    <row r="8" spans="1:15" x14ac:dyDescent="0.25">
      <c r="A8">
        <v>7</v>
      </c>
      <c r="B8" s="10" t="s">
        <v>153</v>
      </c>
      <c r="C8" s="10" t="s">
        <v>102</v>
      </c>
      <c r="D8" s="11">
        <v>41.17</v>
      </c>
      <c r="E8" s="11">
        <v>42.04</v>
      </c>
      <c r="F8" s="12" t="s">
        <v>42</v>
      </c>
      <c r="G8" s="5">
        <f t="shared" si="0"/>
        <v>2.1131892154481354E-2</v>
      </c>
      <c r="H8" s="10" t="s">
        <v>76</v>
      </c>
    </row>
    <row r="9" spans="1:15" x14ac:dyDescent="0.25">
      <c r="A9">
        <v>8</v>
      </c>
      <c r="B9" s="10" t="s">
        <v>204</v>
      </c>
      <c r="C9" s="10" t="s">
        <v>205</v>
      </c>
      <c r="D9" s="11">
        <v>77.63</v>
      </c>
      <c r="E9" s="11">
        <v>79.182599999999994</v>
      </c>
      <c r="F9" s="12" t="s">
        <v>206</v>
      </c>
      <c r="G9" s="5">
        <f t="shared" si="0"/>
        <v>1.999999999999998E-2</v>
      </c>
      <c r="H9" s="10" t="s">
        <v>77</v>
      </c>
    </row>
    <row r="10" spans="1:15" x14ac:dyDescent="0.25">
      <c r="A10">
        <v>9</v>
      </c>
      <c r="B10" s="10" t="s">
        <v>140</v>
      </c>
      <c r="C10" s="10" t="s">
        <v>207</v>
      </c>
      <c r="D10" s="11">
        <v>45</v>
      </c>
      <c r="E10" s="11">
        <v>45.9</v>
      </c>
      <c r="F10" s="12" t="s">
        <v>208</v>
      </c>
      <c r="G10" s="5">
        <f t="shared" si="0"/>
        <v>1.9999999999999969E-2</v>
      </c>
      <c r="H10" s="10" t="s">
        <v>76</v>
      </c>
    </row>
    <row r="11" spans="1:15" x14ac:dyDescent="0.25">
      <c r="A11">
        <v>10</v>
      </c>
      <c r="B11" s="10" t="s">
        <v>209</v>
      </c>
      <c r="C11" s="10" t="s">
        <v>210</v>
      </c>
      <c r="D11" s="11">
        <v>30.5</v>
      </c>
      <c r="E11" s="11">
        <v>30.69</v>
      </c>
      <c r="F11" s="12" t="s">
        <v>211</v>
      </c>
      <c r="G11" s="5">
        <f t="shared" si="0"/>
        <v>6.2295081967213535E-3</v>
      </c>
      <c r="H11" s="10" t="s">
        <v>71</v>
      </c>
    </row>
    <row r="12" spans="1:15" x14ac:dyDescent="0.25">
      <c r="A12">
        <v>11</v>
      </c>
      <c r="B12" s="10" t="s">
        <v>212</v>
      </c>
      <c r="C12" s="10" t="s">
        <v>213</v>
      </c>
      <c r="D12" s="11">
        <v>70</v>
      </c>
      <c r="E12" s="11">
        <v>71.400000000000006</v>
      </c>
      <c r="F12" s="12" t="s">
        <v>214</v>
      </c>
      <c r="G12" s="5">
        <f t="shared" si="0"/>
        <v>2.000000000000008E-2</v>
      </c>
      <c r="H12" s="10" t="s">
        <v>77</v>
      </c>
      <c r="O12" s="8"/>
    </row>
    <row r="13" spans="1:15" x14ac:dyDescent="0.25">
      <c r="A13">
        <v>12</v>
      </c>
      <c r="B13" s="10" t="s">
        <v>215</v>
      </c>
      <c r="C13" s="10" t="s">
        <v>216</v>
      </c>
      <c r="D13" s="11">
        <v>69.05</v>
      </c>
      <c r="E13" s="11">
        <v>70.430999999999997</v>
      </c>
      <c r="F13" s="12" t="s">
        <v>217</v>
      </c>
      <c r="G13" s="5">
        <f t="shared" si="0"/>
        <v>2.0000000000000004E-2</v>
      </c>
      <c r="H13" s="13" t="s">
        <v>76</v>
      </c>
    </row>
    <row r="14" spans="1:15" x14ac:dyDescent="0.25">
      <c r="A14">
        <v>13</v>
      </c>
      <c r="B14" s="10" t="s">
        <v>218</v>
      </c>
      <c r="C14" s="10" t="s">
        <v>219</v>
      </c>
      <c r="D14" s="11">
        <v>71</v>
      </c>
      <c r="E14" s="11">
        <v>72.42</v>
      </c>
      <c r="F14" s="12" t="s">
        <v>220</v>
      </c>
      <c r="G14" s="5">
        <f t="shared" si="0"/>
        <v>2.0000000000000025E-2</v>
      </c>
      <c r="H14" s="13" t="s">
        <v>77</v>
      </c>
    </row>
    <row r="15" spans="1:15" x14ac:dyDescent="0.25">
      <c r="A15">
        <v>14</v>
      </c>
      <c r="B15" s="10" t="s">
        <v>221</v>
      </c>
      <c r="C15" s="10" t="s">
        <v>222</v>
      </c>
      <c r="D15" s="11">
        <v>28.14</v>
      </c>
      <c r="E15" s="11">
        <v>29.12</v>
      </c>
      <c r="F15" s="12" t="s">
        <v>223</v>
      </c>
      <c r="G15" s="5">
        <f t="shared" si="0"/>
        <v>3.4825870646766184E-2</v>
      </c>
      <c r="H15" s="10" t="s">
        <v>72</v>
      </c>
    </row>
    <row r="16" spans="1:15" x14ac:dyDescent="0.25">
      <c r="A16">
        <v>15</v>
      </c>
      <c r="B16" s="10" t="s">
        <v>224</v>
      </c>
      <c r="C16" s="10" t="s">
        <v>225</v>
      </c>
      <c r="D16" s="11">
        <v>56</v>
      </c>
      <c r="E16" s="11">
        <v>57.12</v>
      </c>
      <c r="F16" s="12" t="s">
        <v>226</v>
      </c>
      <c r="G16" s="5">
        <f t="shared" si="0"/>
        <v>1.9999999999999955E-2</v>
      </c>
      <c r="H16" s="13" t="s">
        <v>77</v>
      </c>
    </row>
    <row r="17" spans="1:8" x14ac:dyDescent="0.25">
      <c r="A17">
        <v>16</v>
      </c>
      <c r="B17" s="10" t="s">
        <v>177</v>
      </c>
      <c r="C17" s="10" t="s">
        <v>126</v>
      </c>
      <c r="D17" s="11">
        <v>29.6</v>
      </c>
      <c r="E17" s="11">
        <v>30.69</v>
      </c>
      <c r="F17" s="12" t="s">
        <v>63</v>
      </c>
      <c r="G17" s="5">
        <f t="shared" si="0"/>
        <v>3.6824324324324316E-2</v>
      </c>
      <c r="H17" s="10" t="s">
        <v>71</v>
      </c>
    </row>
    <row r="18" spans="1:8" x14ac:dyDescent="0.25">
      <c r="A18">
        <v>17</v>
      </c>
      <c r="B18" s="10" t="s">
        <v>133</v>
      </c>
      <c r="C18" s="10" t="s">
        <v>81</v>
      </c>
      <c r="D18" s="11">
        <v>29.6</v>
      </c>
      <c r="E18" s="11">
        <v>30.69</v>
      </c>
      <c r="F18" s="12" t="s">
        <v>22</v>
      </c>
      <c r="G18" s="5">
        <f t="shared" si="0"/>
        <v>3.6824324324324316E-2</v>
      </c>
      <c r="H18" s="10" t="s">
        <v>71</v>
      </c>
    </row>
    <row r="19" spans="1:8" x14ac:dyDescent="0.25">
      <c r="A19">
        <v>18</v>
      </c>
      <c r="B19" s="10" t="s">
        <v>120</v>
      </c>
      <c r="C19" s="10" t="s">
        <v>227</v>
      </c>
      <c r="D19" s="11">
        <v>71</v>
      </c>
      <c r="E19" s="11">
        <v>72.42</v>
      </c>
      <c r="F19" s="12" t="s">
        <v>228</v>
      </c>
      <c r="G19" s="5">
        <f t="shared" si="0"/>
        <v>2.0000000000000025E-2</v>
      </c>
      <c r="H19" s="10" t="s">
        <v>77</v>
      </c>
    </row>
    <row r="20" spans="1:8" x14ac:dyDescent="0.25">
      <c r="A20">
        <v>19</v>
      </c>
      <c r="B20" s="10" t="s">
        <v>164</v>
      </c>
      <c r="C20" s="10" t="s">
        <v>229</v>
      </c>
      <c r="D20" s="11">
        <v>41.95</v>
      </c>
      <c r="E20" s="11">
        <v>48</v>
      </c>
      <c r="F20" s="12" t="s">
        <v>230</v>
      </c>
      <c r="G20" s="5">
        <f t="shared" si="0"/>
        <v>0.14421930870083424</v>
      </c>
      <c r="H20" s="10" t="s">
        <v>76</v>
      </c>
    </row>
    <row r="21" spans="1:8" x14ac:dyDescent="0.25">
      <c r="A21">
        <v>20</v>
      </c>
      <c r="B21" s="10" t="s">
        <v>175</v>
      </c>
      <c r="C21" s="10" t="s">
        <v>124</v>
      </c>
      <c r="D21" s="11">
        <v>29.6</v>
      </c>
      <c r="E21" s="11">
        <v>30.69</v>
      </c>
      <c r="F21" s="12" t="s">
        <v>61</v>
      </c>
      <c r="G21" s="5">
        <f t="shared" si="0"/>
        <v>3.6824324324324316E-2</v>
      </c>
      <c r="H21" s="10" t="s">
        <v>71</v>
      </c>
    </row>
    <row r="22" spans="1:8" x14ac:dyDescent="0.25">
      <c r="A22">
        <v>21</v>
      </c>
      <c r="B22" s="10" t="s">
        <v>159</v>
      </c>
      <c r="C22" s="10" t="s">
        <v>108</v>
      </c>
      <c r="D22" s="11">
        <v>62</v>
      </c>
      <c r="E22" s="11">
        <v>63.24</v>
      </c>
      <c r="F22" s="12" t="s">
        <v>47</v>
      </c>
      <c r="G22" s="5">
        <f t="shared" si="0"/>
        <v>2.0000000000000032E-2</v>
      </c>
      <c r="H22" s="10" t="s">
        <v>77</v>
      </c>
    </row>
    <row r="23" spans="1:8" x14ac:dyDescent="0.25">
      <c r="A23">
        <v>22</v>
      </c>
      <c r="B23" s="10" t="s">
        <v>183</v>
      </c>
      <c r="C23" s="10" t="s">
        <v>129</v>
      </c>
      <c r="D23" s="11">
        <v>47</v>
      </c>
      <c r="E23" s="11">
        <v>47.94</v>
      </c>
      <c r="F23" s="12" t="s">
        <v>67</v>
      </c>
      <c r="G23" s="5">
        <f t="shared" si="0"/>
        <v>1.9999999999999952E-2</v>
      </c>
      <c r="H23" s="10" t="s">
        <v>76</v>
      </c>
    </row>
    <row r="24" spans="1:8" x14ac:dyDescent="0.25">
      <c r="A24">
        <v>23</v>
      </c>
      <c r="B24" s="10" t="s">
        <v>142</v>
      </c>
      <c r="C24" s="10" t="s">
        <v>88</v>
      </c>
      <c r="D24" s="11">
        <v>28.09</v>
      </c>
      <c r="E24" s="11">
        <v>29.12</v>
      </c>
      <c r="F24" s="12" t="s">
        <v>29</v>
      </c>
      <c r="G24" s="5">
        <f t="shared" si="0"/>
        <v>3.6667853328586728E-2</v>
      </c>
      <c r="H24" s="10" t="s">
        <v>72</v>
      </c>
    </row>
    <row r="25" spans="1:8" x14ac:dyDescent="0.25">
      <c r="A25">
        <v>24</v>
      </c>
      <c r="B25" s="10" t="s">
        <v>231</v>
      </c>
      <c r="C25" s="10" t="s">
        <v>232</v>
      </c>
      <c r="D25" s="11">
        <v>57</v>
      </c>
      <c r="E25" s="11">
        <v>60</v>
      </c>
      <c r="F25" s="12" t="s">
        <v>233</v>
      </c>
      <c r="G25" s="5">
        <f t="shared" si="0"/>
        <v>5.2631578947368418E-2</v>
      </c>
      <c r="H25" s="13" t="s">
        <v>77</v>
      </c>
    </row>
    <row r="26" spans="1:8" x14ac:dyDescent="0.25">
      <c r="A26">
        <v>25</v>
      </c>
      <c r="B26" s="10" t="s">
        <v>134</v>
      </c>
      <c r="C26" s="10" t="s">
        <v>82</v>
      </c>
      <c r="D26" s="11">
        <v>29.6</v>
      </c>
      <c r="E26" s="11">
        <v>30.69</v>
      </c>
      <c r="F26" s="12" t="s">
        <v>23</v>
      </c>
      <c r="G26" s="5">
        <f t="shared" si="0"/>
        <v>3.6824324324324316E-2</v>
      </c>
      <c r="H26" s="10" t="s">
        <v>71</v>
      </c>
    </row>
    <row r="27" spans="1:8" x14ac:dyDescent="0.25">
      <c r="A27">
        <v>26</v>
      </c>
      <c r="B27" s="10" t="s">
        <v>143</v>
      </c>
      <c r="C27" s="10" t="s">
        <v>89</v>
      </c>
      <c r="D27" s="11">
        <v>28.09</v>
      </c>
      <c r="E27" s="11">
        <v>29.12</v>
      </c>
      <c r="F27" s="12" t="s">
        <v>30</v>
      </c>
      <c r="G27" s="5">
        <f t="shared" si="0"/>
        <v>3.6667853328586728E-2</v>
      </c>
      <c r="H27" s="10" t="s">
        <v>72</v>
      </c>
    </row>
    <row r="28" spans="1:8" x14ac:dyDescent="0.25">
      <c r="A28">
        <v>27</v>
      </c>
      <c r="B28" s="10" t="s">
        <v>144</v>
      </c>
      <c r="C28" s="10" t="s">
        <v>82</v>
      </c>
      <c r="D28" s="11">
        <v>28.09</v>
      </c>
      <c r="E28" s="11">
        <v>29.12</v>
      </c>
      <c r="F28" s="12" t="s">
        <v>31</v>
      </c>
      <c r="G28" s="5">
        <f t="shared" si="0"/>
        <v>3.6667853328586728E-2</v>
      </c>
      <c r="H28" s="10" t="s">
        <v>72</v>
      </c>
    </row>
    <row r="29" spans="1:8" x14ac:dyDescent="0.25">
      <c r="A29">
        <v>28</v>
      </c>
      <c r="B29" s="10" t="s">
        <v>145</v>
      </c>
      <c r="C29" s="10" t="s">
        <v>90</v>
      </c>
      <c r="D29" s="11">
        <v>28.09</v>
      </c>
      <c r="E29" s="11">
        <v>29.12</v>
      </c>
      <c r="F29" s="12" t="s">
        <v>32</v>
      </c>
      <c r="G29" s="5">
        <f t="shared" si="0"/>
        <v>3.6667853328586728E-2</v>
      </c>
      <c r="H29" s="10" t="s">
        <v>72</v>
      </c>
    </row>
    <row r="30" spans="1:8" x14ac:dyDescent="0.25">
      <c r="A30">
        <v>29</v>
      </c>
      <c r="B30" s="10" t="s">
        <v>135</v>
      </c>
      <c r="C30" s="10" t="s">
        <v>83</v>
      </c>
      <c r="D30" s="11">
        <v>29.6</v>
      </c>
      <c r="E30" s="11">
        <v>31.240000000000002</v>
      </c>
      <c r="F30" s="12" t="s">
        <v>24</v>
      </c>
      <c r="G30" s="5">
        <f t="shared" si="0"/>
        <v>5.5405405405405422E-2</v>
      </c>
      <c r="H30" s="10" t="s">
        <v>71</v>
      </c>
    </row>
    <row r="31" spans="1:8" x14ac:dyDescent="0.25">
      <c r="A31">
        <v>30</v>
      </c>
      <c r="B31" s="10" t="s">
        <v>176</v>
      </c>
      <c r="C31" s="10" t="s">
        <v>125</v>
      </c>
      <c r="D31" s="11">
        <v>29.6</v>
      </c>
      <c r="E31" s="11">
        <v>30.69</v>
      </c>
      <c r="F31" s="12" t="s">
        <v>62</v>
      </c>
      <c r="G31" s="5">
        <f t="shared" si="0"/>
        <v>3.6824324324324316E-2</v>
      </c>
      <c r="H31" s="13" t="s">
        <v>71</v>
      </c>
    </row>
    <row r="32" spans="1:8" x14ac:dyDescent="0.25">
      <c r="A32">
        <v>31</v>
      </c>
      <c r="B32" s="10" t="s">
        <v>146</v>
      </c>
      <c r="C32" s="10" t="s">
        <v>91</v>
      </c>
      <c r="D32" s="11">
        <v>28.09</v>
      </c>
      <c r="E32" s="11">
        <v>29.12</v>
      </c>
      <c r="F32" s="12" t="s">
        <v>33</v>
      </c>
      <c r="G32" s="5">
        <f t="shared" si="0"/>
        <v>3.6667853328586728E-2</v>
      </c>
      <c r="H32" s="10" t="s">
        <v>72</v>
      </c>
    </row>
    <row r="33" spans="1:8" x14ac:dyDescent="0.25">
      <c r="A33">
        <v>32</v>
      </c>
      <c r="B33" s="10" t="s">
        <v>184</v>
      </c>
      <c r="C33" s="10" t="s">
        <v>130</v>
      </c>
      <c r="D33" s="11">
        <v>30.13</v>
      </c>
      <c r="E33" s="11">
        <v>31.240000000000002</v>
      </c>
      <c r="F33" s="12" t="s">
        <v>68</v>
      </c>
      <c r="G33" s="5">
        <f t="shared" si="0"/>
        <v>3.6840358446730934E-2</v>
      </c>
      <c r="H33" s="10" t="s">
        <v>70</v>
      </c>
    </row>
    <row r="34" spans="1:8" x14ac:dyDescent="0.25">
      <c r="A34">
        <v>33</v>
      </c>
      <c r="B34" s="10" t="s">
        <v>141</v>
      </c>
      <c r="C34" s="10" t="s">
        <v>92</v>
      </c>
      <c r="D34" s="11">
        <v>28.09</v>
      </c>
      <c r="E34" s="11">
        <v>29.12</v>
      </c>
      <c r="F34" s="12" t="s">
        <v>34</v>
      </c>
      <c r="G34" s="5">
        <f t="shared" si="0"/>
        <v>3.6667853328586728E-2</v>
      </c>
      <c r="H34" s="10" t="s">
        <v>72</v>
      </c>
    </row>
    <row r="35" spans="1:8" x14ac:dyDescent="0.25">
      <c r="A35">
        <v>34</v>
      </c>
      <c r="B35" s="10" t="s">
        <v>147</v>
      </c>
      <c r="C35" s="10" t="s">
        <v>93</v>
      </c>
      <c r="D35" s="11">
        <v>28.09</v>
      </c>
      <c r="E35" s="11">
        <v>29.12</v>
      </c>
      <c r="F35" s="12" t="s">
        <v>35</v>
      </c>
      <c r="G35" s="5">
        <f t="shared" si="0"/>
        <v>3.6667853328586728E-2</v>
      </c>
      <c r="H35" s="10" t="s">
        <v>72</v>
      </c>
    </row>
    <row r="36" spans="1:8" x14ac:dyDescent="0.25">
      <c r="A36">
        <v>35</v>
      </c>
      <c r="B36" s="10" t="s">
        <v>158</v>
      </c>
      <c r="C36" s="10" t="s">
        <v>107</v>
      </c>
      <c r="D36" s="11">
        <v>60</v>
      </c>
      <c r="E36" s="11">
        <v>61.2</v>
      </c>
      <c r="F36" s="12" t="s">
        <v>234</v>
      </c>
      <c r="G36" s="5">
        <f t="shared" si="0"/>
        <v>2.0000000000000049E-2</v>
      </c>
      <c r="H36" s="10" t="s">
        <v>77</v>
      </c>
    </row>
    <row r="37" spans="1:8" x14ac:dyDescent="0.25">
      <c r="A37">
        <v>36</v>
      </c>
      <c r="B37" s="10" t="s">
        <v>174</v>
      </c>
      <c r="C37" s="10" t="s">
        <v>127</v>
      </c>
      <c r="D37" s="11">
        <v>30.13</v>
      </c>
      <c r="E37" s="11">
        <v>31</v>
      </c>
      <c r="F37" s="12" t="s">
        <v>64</v>
      </c>
      <c r="G37" s="5">
        <f t="shared" si="0"/>
        <v>2.8874875539329607E-2</v>
      </c>
      <c r="H37" s="10" t="s">
        <v>71</v>
      </c>
    </row>
    <row r="38" spans="1:8" x14ac:dyDescent="0.25">
      <c r="A38">
        <v>37</v>
      </c>
      <c r="B38" s="10" t="s">
        <v>140</v>
      </c>
      <c r="C38" s="10" t="s">
        <v>87</v>
      </c>
      <c r="D38" s="11">
        <v>30.13</v>
      </c>
      <c r="E38" s="11">
        <v>30.69</v>
      </c>
      <c r="F38" s="12" t="s">
        <v>28</v>
      </c>
      <c r="G38" s="5">
        <f t="shared" si="0"/>
        <v>1.8586126783936351E-2</v>
      </c>
      <c r="H38" s="10" t="s">
        <v>71</v>
      </c>
    </row>
    <row r="39" spans="1:8" x14ac:dyDescent="0.25">
      <c r="A39">
        <v>38</v>
      </c>
      <c r="B39" s="10" t="s">
        <v>160</v>
      </c>
      <c r="C39" s="10" t="s">
        <v>109</v>
      </c>
      <c r="D39" s="11">
        <v>52</v>
      </c>
      <c r="E39" s="11">
        <v>58</v>
      </c>
      <c r="F39" s="12" t="s">
        <v>48</v>
      </c>
      <c r="G39" s="5">
        <f t="shared" si="0"/>
        <v>0.11538461538461539</v>
      </c>
      <c r="H39" s="13" t="s">
        <v>77</v>
      </c>
    </row>
    <row r="40" spans="1:8" x14ac:dyDescent="0.25">
      <c r="A40">
        <v>39</v>
      </c>
      <c r="B40" s="10" t="s">
        <v>89</v>
      </c>
      <c r="C40" s="10" t="s">
        <v>94</v>
      </c>
      <c r="D40" s="11">
        <v>28.09</v>
      </c>
      <c r="E40" s="11">
        <v>29.12</v>
      </c>
      <c r="F40" s="12" t="s">
        <v>36</v>
      </c>
      <c r="G40" s="5">
        <f t="shared" si="0"/>
        <v>3.6667853328586728E-2</v>
      </c>
      <c r="H40" s="10" t="s">
        <v>72</v>
      </c>
    </row>
    <row r="41" spans="1:8" x14ac:dyDescent="0.25">
      <c r="A41">
        <v>40</v>
      </c>
      <c r="B41" s="10" t="s">
        <v>157</v>
      </c>
      <c r="C41" s="10" t="s">
        <v>106</v>
      </c>
      <c r="D41" s="11">
        <v>64</v>
      </c>
      <c r="E41" s="11">
        <v>65.28</v>
      </c>
      <c r="F41" s="12" t="s">
        <v>46</v>
      </c>
      <c r="G41" s="5">
        <f t="shared" si="0"/>
        <v>2.0000000000000018E-2</v>
      </c>
      <c r="H41" s="10" t="s">
        <v>77</v>
      </c>
    </row>
    <row r="42" spans="1:8" x14ac:dyDescent="0.25">
      <c r="A42">
        <v>41</v>
      </c>
      <c r="B42" s="10" t="s">
        <v>235</v>
      </c>
      <c r="C42" s="10" t="s">
        <v>236</v>
      </c>
      <c r="D42" s="11">
        <v>55</v>
      </c>
      <c r="E42" s="11">
        <v>56.1</v>
      </c>
      <c r="F42" s="12" t="s">
        <v>237</v>
      </c>
      <c r="G42" s="5">
        <f t="shared" si="0"/>
        <v>2.0000000000000025E-2</v>
      </c>
      <c r="H42" s="10" t="s">
        <v>76</v>
      </c>
    </row>
    <row r="43" spans="1:8" x14ac:dyDescent="0.25">
      <c r="A43">
        <v>42</v>
      </c>
      <c r="B43" s="10" t="s">
        <v>149</v>
      </c>
      <c r="C43" s="10" t="s">
        <v>96</v>
      </c>
      <c r="D43" s="11">
        <v>28.09</v>
      </c>
      <c r="E43" s="11">
        <v>29.12</v>
      </c>
      <c r="F43" s="12" t="s">
        <v>38</v>
      </c>
      <c r="G43" s="5">
        <f t="shared" si="0"/>
        <v>3.6667853328586728E-2</v>
      </c>
      <c r="H43" s="10" t="s">
        <v>72</v>
      </c>
    </row>
    <row r="44" spans="1:8" x14ac:dyDescent="0.25">
      <c r="A44">
        <v>43</v>
      </c>
      <c r="B44" s="10" t="s">
        <v>238</v>
      </c>
      <c r="C44" s="10" t="s">
        <v>239</v>
      </c>
      <c r="D44" s="11">
        <v>68</v>
      </c>
      <c r="E44" s="11">
        <v>69.36</v>
      </c>
      <c r="F44" s="12" t="s">
        <v>240</v>
      </c>
      <c r="G44" s="5">
        <f t="shared" si="0"/>
        <v>1.999999999999999E-2</v>
      </c>
      <c r="H44" s="10" t="s">
        <v>77</v>
      </c>
    </row>
    <row r="45" spans="1:8" x14ac:dyDescent="0.25">
      <c r="A45">
        <v>44</v>
      </c>
      <c r="B45" s="10" t="s">
        <v>241</v>
      </c>
      <c r="C45" s="10" t="s">
        <v>242</v>
      </c>
      <c r="D45" s="11">
        <v>32</v>
      </c>
      <c r="E45" s="11">
        <v>34.364000000000004</v>
      </c>
      <c r="F45" s="12" t="s">
        <v>243</v>
      </c>
      <c r="G45" s="5">
        <f t="shared" si="0"/>
        <v>7.3875000000000135E-2</v>
      </c>
      <c r="H45" s="10" t="s">
        <v>70</v>
      </c>
    </row>
    <row r="46" spans="1:8" x14ac:dyDescent="0.25">
      <c r="A46">
        <v>45</v>
      </c>
      <c r="B46" s="10" t="s">
        <v>244</v>
      </c>
      <c r="C46" s="10" t="s">
        <v>245</v>
      </c>
      <c r="D46" s="11">
        <v>61</v>
      </c>
      <c r="E46" s="11">
        <v>62.22</v>
      </c>
      <c r="F46" s="12" t="s">
        <v>246</v>
      </c>
      <c r="G46" s="5">
        <f t="shared" si="0"/>
        <v>1.9999999999999983E-2</v>
      </c>
      <c r="H46" s="10" t="s">
        <v>77</v>
      </c>
    </row>
    <row r="47" spans="1:8" x14ac:dyDescent="0.25">
      <c r="A47">
        <v>46</v>
      </c>
      <c r="B47" s="10" t="s">
        <v>247</v>
      </c>
      <c r="C47" s="10" t="s">
        <v>248</v>
      </c>
      <c r="D47" s="11">
        <v>28.52</v>
      </c>
      <c r="E47" s="11">
        <v>29.12</v>
      </c>
      <c r="F47" s="12" t="s">
        <v>249</v>
      </c>
      <c r="G47" s="5">
        <f t="shared" si="0"/>
        <v>2.1037868162692899E-2</v>
      </c>
      <c r="H47" s="10" t="s">
        <v>72</v>
      </c>
    </row>
    <row r="48" spans="1:8" x14ac:dyDescent="0.25">
      <c r="A48">
        <v>47</v>
      </c>
      <c r="B48" s="10" t="s">
        <v>182</v>
      </c>
      <c r="C48" s="10" t="s">
        <v>121</v>
      </c>
      <c r="D48" s="11">
        <v>28.09</v>
      </c>
      <c r="E48" s="11">
        <v>29.12</v>
      </c>
      <c r="F48" s="12" t="s">
        <v>66</v>
      </c>
      <c r="G48" s="5">
        <f t="shared" si="0"/>
        <v>3.6667853328586728E-2</v>
      </c>
      <c r="H48" s="10" t="s">
        <v>72</v>
      </c>
    </row>
    <row r="49" spans="1:8" x14ac:dyDescent="0.25">
      <c r="A49">
        <v>48</v>
      </c>
      <c r="B49" s="10" t="s">
        <v>250</v>
      </c>
      <c r="C49" s="10" t="s">
        <v>251</v>
      </c>
      <c r="D49" s="11">
        <v>57.38</v>
      </c>
      <c r="E49" s="11">
        <v>58.5276</v>
      </c>
      <c r="F49" s="12" t="s">
        <v>252</v>
      </c>
      <c r="G49" s="5">
        <f t="shared" si="0"/>
        <v>1.9999999999999948E-2</v>
      </c>
      <c r="H49" s="10" t="s">
        <v>76</v>
      </c>
    </row>
    <row r="50" spans="1:8" x14ac:dyDescent="0.25">
      <c r="A50">
        <v>49</v>
      </c>
      <c r="B50" s="10" t="s">
        <v>253</v>
      </c>
      <c r="C50" s="10" t="s">
        <v>254</v>
      </c>
      <c r="D50" s="11">
        <v>63.15</v>
      </c>
      <c r="E50" s="11">
        <v>64.412999999999997</v>
      </c>
      <c r="F50" s="12" t="s">
        <v>255</v>
      </c>
      <c r="G50" s="5">
        <f t="shared" si="0"/>
        <v>1.9999999999999969E-2</v>
      </c>
      <c r="H50" s="10" t="s">
        <v>77</v>
      </c>
    </row>
    <row r="51" spans="1:8" x14ac:dyDescent="0.25">
      <c r="A51">
        <v>50</v>
      </c>
      <c r="B51" s="10" t="s">
        <v>256</v>
      </c>
      <c r="C51" s="10" t="s">
        <v>257</v>
      </c>
      <c r="D51" s="11">
        <v>39</v>
      </c>
      <c r="E51" s="11">
        <v>40</v>
      </c>
      <c r="F51" s="12" t="s">
        <v>258</v>
      </c>
      <c r="G51" s="5">
        <f t="shared" si="0"/>
        <v>2.564102564102564E-2</v>
      </c>
      <c r="H51" s="10" t="s">
        <v>70</v>
      </c>
    </row>
    <row r="52" spans="1:8" x14ac:dyDescent="0.25">
      <c r="A52">
        <v>51</v>
      </c>
      <c r="B52" s="10" t="s">
        <v>259</v>
      </c>
      <c r="C52" s="10" t="s">
        <v>260</v>
      </c>
      <c r="D52" s="11">
        <v>105.26</v>
      </c>
      <c r="E52" s="11">
        <v>107.3652</v>
      </c>
      <c r="F52" s="12" t="s">
        <v>261</v>
      </c>
      <c r="G52" s="5">
        <f t="shared" si="0"/>
        <v>1.9999999999999966E-2</v>
      </c>
      <c r="H52" s="10" t="s">
        <v>262</v>
      </c>
    </row>
    <row r="53" spans="1:8" x14ac:dyDescent="0.25">
      <c r="A53">
        <v>52</v>
      </c>
      <c r="B53" s="10" t="s">
        <v>263</v>
      </c>
      <c r="C53" s="10" t="s">
        <v>264</v>
      </c>
      <c r="D53" s="11">
        <v>37.06</v>
      </c>
      <c r="E53" s="11">
        <v>40</v>
      </c>
      <c r="F53" s="12" t="s">
        <v>265</v>
      </c>
      <c r="G53" s="5">
        <f t="shared" si="0"/>
        <v>7.9330814894765178E-2</v>
      </c>
      <c r="H53" s="10" t="s">
        <v>71</v>
      </c>
    </row>
    <row r="54" spans="1:8" x14ac:dyDescent="0.25">
      <c r="A54">
        <v>53</v>
      </c>
      <c r="B54" s="10" t="s">
        <v>266</v>
      </c>
      <c r="C54" s="10" t="s">
        <v>267</v>
      </c>
      <c r="D54" s="11">
        <v>51.45</v>
      </c>
      <c r="E54" s="11">
        <v>52.479000000000006</v>
      </c>
      <c r="F54" s="12" t="s">
        <v>268</v>
      </c>
      <c r="G54" s="5">
        <f t="shared" si="0"/>
        <v>2.0000000000000066E-2</v>
      </c>
      <c r="H54" s="10" t="s">
        <v>76</v>
      </c>
    </row>
    <row r="55" spans="1:8" x14ac:dyDescent="0.25">
      <c r="A55">
        <v>54</v>
      </c>
      <c r="B55" s="10" t="s">
        <v>269</v>
      </c>
      <c r="C55" s="10" t="s">
        <v>200</v>
      </c>
      <c r="D55" s="11">
        <v>80</v>
      </c>
      <c r="E55" s="11">
        <v>81.599999999999994</v>
      </c>
      <c r="F55" s="12" t="s">
        <v>270</v>
      </c>
      <c r="G55" s="5">
        <f t="shared" si="0"/>
        <v>1.9999999999999928E-2</v>
      </c>
      <c r="H55" s="10" t="s">
        <v>77</v>
      </c>
    </row>
    <row r="56" spans="1:8" x14ac:dyDescent="0.25">
      <c r="A56">
        <v>55</v>
      </c>
      <c r="B56" s="10" t="s">
        <v>163</v>
      </c>
      <c r="C56" s="10" t="s">
        <v>112</v>
      </c>
      <c r="D56" s="11">
        <v>56</v>
      </c>
      <c r="E56" s="11">
        <v>57.12</v>
      </c>
      <c r="F56" s="12" t="s">
        <v>51</v>
      </c>
      <c r="G56" s="5">
        <f t="shared" si="0"/>
        <v>1.9999999999999955E-2</v>
      </c>
      <c r="H56" s="13" t="s">
        <v>77</v>
      </c>
    </row>
    <row r="57" spans="1:8" x14ac:dyDescent="0.25">
      <c r="A57">
        <v>56</v>
      </c>
      <c r="B57" s="10" t="s">
        <v>180</v>
      </c>
      <c r="C57" s="10" t="s">
        <v>120</v>
      </c>
      <c r="D57" s="11">
        <v>30</v>
      </c>
      <c r="E57" s="11">
        <v>30.6</v>
      </c>
      <c r="F57" s="12" t="s">
        <v>271</v>
      </c>
      <c r="G57" s="5">
        <f t="shared" si="0"/>
        <v>2.0000000000000049E-2</v>
      </c>
      <c r="H57" s="10" t="s">
        <v>72</v>
      </c>
    </row>
    <row r="58" spans="1:8" x14ac:dyDescent="0.25">
      <c r="A58">
        <v>57</v>
      </c>
      <c r="B58" s="10" t="s">
        <v>272</v>
      </c>
      <c r="C58" s="10" t="s">
        <v>273</v>
      </c>
      <c r="D58" s="11">
        <v>33.979999999999997</v>
      </c>
      <c r="E58" s="11">
        <v>34.659599999999998</v>
      </c>
      <c r="F58" s="12" t="s">
        <v>274</v>
      </c>
      <c r="G58" s="5">
        <f t="shared" si="0"/>
        <v>2.0000000000000021E-2</v>
      </c>
      <c r="H58" s="10" t="s">
        <v>72</v>
      </c>
    </row>
    <row r="59" spans="1:8" x14ac:dyDescent="0.25">
      <c r="A59">
        <v>58</v>
      </c>
      <c r="B59" s="10" t="s">
        <v>275</v>
      </c>
      <c r="C59" s="10" t="s">
        <v>276</v>
      </c>
      <c r="D59" s="11">
        <v>31</v>
      </c>
      <c r="E59" s="11">
        <v>31.62</v>
      </c>
      <c r="F59" s="12" t="s">
        <v>277</v>
      </c>
      <c r="G59" s="5">
        <f t="shared" si="0"/>
        <v>2.0000000000000032E-2</v>
      </c>
      <c r="H59" s="10" t="s">
        <v>72</v>
      </c>
    </row>
    <row r="60" spans="1:8" x14ac:dyDescent="0.25">
      <c r="A60">
        <v>59</v>
      </c>
      <c r="B60" s="10" t="s">
        <v>278</v>
      </c>
      <c r="C60" s="10" t="s">
        <v>279</v>
      </c>
      <c r="D60" s="11">
        <v>72</v>
      </c>
      <c r="E60" s="11">
        <v>75</v>
      </c>
      <c r="F60" s="12" t="s">
        <v>280</v>
      </c>
      <c r="G60" s="5">
        <f t="shared" si="0"/>
        <v>4.1666666666666664E-2</v>
      </c>
      <c r="H60" s="10" t="s">
        <v>262</v>
      </c>
    </row>
    <row r="61" spans="1:8" x14ac:dyDescent="0.25">
      <c r="A61">
        <v>60</v>
      </c>
      <c r="B61" s="10" t="s">
        <v>154</v>
      </c>
      <c r="C61" s="10" t="s">
        <v>103</v>
      </c>
      <c r="D61" s="11">
        <v>47</v>
      </c>
      <c r="E61" s="11">
        <v>47.94</v>
      </c>
      <c r="F61" s="12" t="s">
        <v>43</v>
      </c>
      <c r="G61" s="5">
        <f t="shared" si="0"/>
        <v>1.9999999999999952E-2</v>
      </c>
      <c r="H61" s="10" t="s">
        <v>76</v>
      </c>
    </row>
    <row r="62" spans="1:8" x14ac:dyDescent="0.25">
      <c r="A62">
        <v>61</v>
      </c>
      <c r="B62" s="10" t="s">
        <v>164</v>
      </c>
      <c r="C62" s="10" t="s">
        <v>113</v>
      </c>
      <c r="D62" s="11">
        <v>56</v>
      </c>
      <c r="E62" s="11">
        <v>57.12</v>
      </c>
      <c r="F62" s="12" t="s">
        <v>52</v>
      </c>
      <c r="G62" s="5">
        <f t="shared" si="0"/>
        <v>1.9999999999999955E-2</v>
      </c>
      <c r="H62" s="10" t="s">
        <v>77</v>
      </c>
    </row>
    <row r="63" spans="1:8" x14ac:dyDescent="0.25">
      <c r="A63">
        <v>62</v>
      </c>
      <c r="B63" s="10" t="s">
        <v>167</v>
      </c>
      <c r="C63" s="10" t="s">
        <v>115</v>
      </c>
      <c r="D63" s="11">
        <v>69.5</v>
      </c>
      <c r="E63" s="11">
        <v>70.89</v>
      </c>
      <c r="F63" s="12" t="s">
        <v>55</v>
      </c>
      <c r="G63" s="5">
        <f t="shared" si="0"/>
        <v>2.0000000000000007E-2</v>
      </c>
      <c r="H63" s="10" t="s">
        <v>77</v>
      </c>
    </row>
    <row r="64" spans="1:8" x14ac:dyDescent="0.25">
      <c r="A64">
        <v>63</v>
      </c>
      <c r="B64" s="10" t="s">
        <v>281</v>
      </c>
      <c r="C64" s="10" t="s">
        <v>282</v>
      </c>
      <c r="D64" s="11">
        <v>56.42</v>
      </c>
      <c r="E64" s="11">
        <v>57.548400000000001</v>
      </c>
      <c r="F64" s="12" t="s">
        <v>283</v>
      </c>
      <c r="G64" s="5">
        <f t="shared" si="0"/>
        <v>1.9999999999999987E-2</v>
      </c>
      <c r="H64" s="10" t="s">
        <v>76</v>
      </c>
    </row>
    <row r="65" spans="1:8" x14ac:dyDescent="0.25">
      <c r="A65">
        <v>64</v>
      </c>
      <c r="B65" s="10" t="s">
        <v>284</v>
      </c>
      <c r="C65" s="10" t="s">
        <v>285</v>
      </c>
      <c r="D65" s="11">
        <v>65.66</v>
      </c>
      <c r="E65" s="11">
        <v>66.973199999999991</v>
      </c>
      <c r="F65" s="12" t="s">
        <v>286</v>
      </c>
      <c r="G65" s="5">
        <f t="shared" si="0"/>
        <v>1.9999999999999921E-2</v>
      </c>
      <c r="H65" s="10" t="s">
        <v>76</v>
      </c>
    </row>
    <row r="66" spans="1:8" x14ac:dyDescent="0.25">
      <c r="A66">
        <v>65</v>
      </c>
      <c r="B66" s="10" t="s">
        <v>165</v>
      </c>
      <c r="C66" s="10" t="s">
        <v>114</v>
      </c>
      <c r="D66" s="11">
        <v>58</v>
      </c>
      <c r="E66" s="11">
        <v>59.16</v>
      </c>
      <c r="F66" s="12" t="s">
        <v>53</v>
      </c>
      <c r="G66" s="5">
        <f t="shared" si="0"/>
        <v>1.9999999999999941E-2</v>
      </c>
      <c r="H66" s="10" t="s">
        <v>77</v>
      </c>
    </row>
    <row r="67" spans="1:8" x14ac:dyDescent="0.25">
      <c r="A67">
        <v>66</v>
      </c>
      <c r="B67" s="10" t="s">
        <v>136</v>
      </c>
      <c r="C67" s="10" t="s">
        <v>84</v>
      </c>
      <c r="D67" s="11">
        <v>29.65</v>
      </c>
      <c r="E67" s="11">
        <v>30.69</v>
      </c>
      <c r="F67" s="12" t="s">
        <v>25</v>
      </c>
      <c r="G67" s="5">
        <f t="shared" ref="G67:G130" si="1">(E67-D67)/D67</f>
        <v>3.5075885328836515E-2</v>
      </c>
      <c r="H67" s="10" t="s">
        <v>71</v>
      </c>
    </row>
    <row r="68" spans="1:8" x14ac:dyDescent="0.25">
      <c r="A68">
        <v>67</v>
      </c>
      <c r="B68" s="10" t="s">
        <v>287</v>
      </c>
      <c r="C68" s="10" t="s">
        <v>288</v>
      </c>
      <c r="D68" s="11">
        <v>35.090000000000003</v>
      </c>
      <c r="E68" s="11">
        <v>35.791800000000002</v>
      </c>
      <c r="F68" s="12" t="s">
        <v>289</v>
      </c>
      <c r="G68" s="5">
        <f t="shared" si="1"/>
        <v>1.9999999999999959E-2</v>
      </c>
      <c r="H68" s="10" t="s">
        <v>70</v>
      </c>
    </row>
    <row r="69" spans="1:8" x14ac:dyDescent="0.25">
      <c r="A69">
        <v>68</v>
      </c>
      <c r="B69" s="10" t="s">
        <v>290</v>
      </c>
      <c r="C69" s="10" t="s">
        <v>291</v>
      </c>
      <c r="D69" s="11">
        <v>73</v>
      </c>
      <c r="E69" s="11">
        <v>74.459999999999994</v>
      </c>
      <c r="F69" s="12" t="s">
        <v>292</v>
      </c>
      <c r="G69" s="5">
        <f t="shared" si="1"/>
        <v>1.9999999999999914E-2</v>
      </c>
      <c r="H69" s="10" t="s">
        <v>77</v>
      </c>
    </row>
    <row r="70" spans="1:8" x14ac:dyDescent="0.25">
      <c r="A70">
        <v>69</v>
      </c>
      <c r="B70" s="10" t="s">
        <v>293</v>
      </c>
      <c r="C70" s="10" t="s">
        <v>294</v>
      </c>
      <c r="D70" s="11">
        <v>76</v>
      </c>
      <c r="E70" s="11">
        <v>77.52</v>
      </c>
      <c r="F70" s="12" t="s">
        <v>295</v>
      </c>
      <c r="G70" s="5">
        <f t="shared" si="1"/>
        <v>1.9999999999999948E-2</v>
      </c>
      <c r="H70" s="10" t="s">
        <v>77</v>
      </c>
    </row>
    <row r="71" spans="1:8" x14ac:dyDescent="0.25">
      <c r="A71">
        <v>70</v>
      </c>
      <c r="B71" s="10" t="s">
        <v>139</v>
      </c>
      <c r="C71" s="10" t="s">
        <v>86</v>
      </c>
      <c r="D71" s="11">
        <v>29.65</v>
      </c>
      <c r="E71" s="11">
        <v>30.69</v>
      </c>
      <c r="F71" s="12" t="s">
        <v>27</v>
      </c>
      <c r="G71" s="5">
        <f t="shared" si="1"/>
        <v>3.5075885328836515E-2</v>
      </c>
      <c r="H71" s="10" t="s">
        <v>71</v>
      </c>
    </row>
    <row r="72" spans="1:8" x14ac:dyDescent="0.25">
      <c r="A72">
        <v>71</v>
      </c>
      <c r="B72" s="10" t="s">
        <v>155</v>
      </c>
      <c r="C72" s="10" t="s">
        <v>104</v>
      </c>
      <c r="D72" s="11">
        <v>48</v>
      </c>
      <c r="E72" s="11">
        <v>48.96</v>
      </c>
      <c r="F72" s="12" t="s">
        <v>44</v>
      </c>
      <c r="G72" s="5">
        <f t="shared" si="1"/>
        <v>2.0000000000000018E-2</v>
      </c>
      <c r="H72" s="10" t="s">
        <v>76</v>
      </c>
    </row>
    <row r="73" spans="1:8" x14ac:dyDescent="0.25">
      <c r="A73">
        <v>72</v>
      </c>
      <c r="B73" s="10" t="s">
        <v>138</v>
      </c>
      <c r="C73" s="10" t="s">
        <v>85</v>
      </c>
      <c r="D73" s="11">
        <v>34.5</v>
      </c>
      <c r="E73" s="11">
        <v>35.088768000000009</v>
      </c>
      <c r="F73" s="12" t="s">
        <v>26</v>
      </c>
      <c r="G73" s="5">
        <f t="shared" si="1"/>
        <v>1.7065739130435038E-2</v>
      </c>
      <c r="H73" s="10" t="s">
        <v>70</v>
      </c>
    </row>
    <row r="74" spans="1:8" x14ac:dyDescent="0.25">
      <c r="A74">
        <v>73</v>
      </c>
      <c r="B74" s="10" t="s">
        <v>296</v>
      </c>
      <c r="C74" s="10" t="s">
        <v>297</v>
      </c>
      <c r="D74" s="11">
        <v>44</v>
      </c>
      <c r="E74" s="11">
        <v>44.88</v>
      </c>
      <c r="F74" s="12" t="s">
        <v>298</v>
      </c>
      <c r="G74" s="5">
        <f t="shared" si="1"/>
        <v>2.0000000000000059E-2</v>
      </c>
      <c r="H74" s="10" t="s">
        <v>76</v>
      </c>
    </row>
    <row r="75" spans="1:8" x14ac:dyDescent="0.25">
      <c r="A75">
        <v>74</v>
      </c>
      <c r="B75" s="10" t="s">
        <v>162</v>
      </c>
      <c r="C75" s="10" t="s">
        <v>111</v>
      </c>
      <c r="D75" s="11">
        <v>55</v>
      </c>
      <c r="E75" s="11">
        <v>56.1</v>
      </c>
      <c r="F75" s="12" t="s">
        <v>50</v>
      </c>
      <c r="G75" s="5">
        <f t="shared" si="1"/>
        <v>2.0000000000000025E-2</v>
      </c>
      <c r="H75" s="10" t="s">
        <v>77</v>
      </c>
    </row>
    <row r="76" spans="1:8" x14ac:dyDescent="0.25">
      <c r="A76">
        <v>75</v>
      </c>
      <c r="B76" s="10" t="s">
        <v>132</v>
      </c>
      <c r="C76" s="10" t="s">
        <v>80</v>
      </c>
      <c r="D76" s="11">
        <v>31.33</v>
      </c>
      <c r="E76" s="11">
        <v>35.088768000000009</v>
      </c>
      <c r="F76" s="12" t="s">
        <v>21</v>
      </c>
      <c r="G76" s="5">
        <f t="shared" si="1"/>
        <v>0.11997344398340283</v>
      </c>
      <c r="H76" s="10" t="s">
        <v>70</v>
      </c>
    </row>
    <row r="77" spans="1:8" x14ac:dyDescent="0.25">
      <c r="A77">
        <v>76</v>
      </c>
      <c r="B77" s="10" t="s">
        <v>170</v>
      </c>
      <c r="C77" s="10" t="s">
        <v>119</v>
      </c>
      <c r="D77" s="11">
        <v>28.14</v>
      </c>
      <c r="E77" s="11">
        <v>29.12</v>
      </c>
      <c r="F77" s="12" t="s">
        <v>58</v>
      </c>
      <c r="G77" s="5">
        <f t="shared" si="1"/>
        <v>3.4825870646766184E-2</v>
      </c>
      <c r="H77" s="10" t="s">
        <v>72</v>
      </c>
    </row>
    <row r="78" spans="1:8" x14ac:dyDescent="0.25">
      <c r="A78">
        <v>77</v>
      </c>
      <c r="B78" s="10" t="s">
        <v>173</v>
      </c>
      <c r="C78" s="10" t="s">
        <v>122</v>
      </c>
      <c r="D78" s="11">
        <v>28.14</v>
      </c>
      <c r="E78" s="11">
        <v>29.12</v>
      </c>
      <c r="F78" s="12" t="s">
        <v>59</v>
      </c>
      <c r="G78" s="5">
        <f t="shared" si="1"/>
        <v>3.4825870646766184E-2</v>
      </c>
      <c r="H78" s="10" t="s">
        <v>72</v>
      </c>
    </row>
    <row r="79" spans="1:8" x14ac:dyDescent="0.25">
      <c r="A79">
        <v>78</v>
      </c>
      <c r="B79" s="10" t="s">
        <v>150</v>
      </c>
      <c r="C79" s="10" t="s">
        <v>97</v>
      </c>
      <c r="D79" s="11">
        <v>28.14</v>
      </c>
      <c r="E79" s="11">
        <v>29.12</v>
      </c>
      <c r="F79" s="12" t="s">
        <v>39</v>
      </c>
      <c r="G79" s="5">
        <f t="shared" si="1"/>
        <v>3.4825870646766184E-2</v>
      </c>
      <c r="H79" s="10" t="s">
        <v>72</v>
      </c>
    </row>
    <row r="80" spans="1:8" x14ac:dyDescent="0.25">
      <c r="A80">
        <v>79</v>
      </c>
      <c r="B80" s="10" t="s">
        <v>174</v>
      </c>
      <c r="C80" s="10" t="s">
        <v>123</v>
      </c>
      <c r="D80" s="11">
        <v>28.14</v>
      </c>
      <c r="E80" s="22">
        <v>29.12</v>
      </c>
      <c r="F80" s="21" t="s">
        <v>518</v>
      </c>
      <c r="G80" s="5">
        <f t="shared" si="1"/>
        <v>3.4825870646766184E-2</v>
      </c>
      <c r="H80" s="10" t="s">
        <v>71</v>
      </c>
    </row>
    <row r="81" spans="1:8" x14ac:dyDescent="0.25">
      <c r="A81">
        <v>80</v>
      </c>
      <c r="B81" s="10" t="s">
        <v>299</v>
      </c>
      <c r="C81" s="10" t="s">
        <v>300</v>
      </c>
      <c r="D81" s="11">
        <v>28.09</v>
      </c>
      <c r="E81" s="11">
        <v>29.12</v>
      </c>
      <c r="F81" s="12" t="s">
        <v>301</v>
      </c>
      <c r="G81" s="5">
        <f t="shared" si="1"/>
        <v>3.6667853328586728E-2</v>
      </c>
      <c r="H81" s="10" t="s">
        <v>72</v>
      </c>
    </row>
    <row r="82" spans="1:8" x14ac:dyDescent="0.25">
      <c r="A82">
        <v>81</v>
      </c>
      <c r="B82" s="10" t="s">
        <v>302</v>
      </c>
      <c r="C82" s="10" t="s">
        <v>303</v>
      </c>
      <c r="D82" s="11">
        <v>60</v>
      </c>
      <c r="E82" s="11">
        <v>61.2</v>
      </c>
      <c r="F82" s="12" t="s">
        <v>304</v>
      </c>
      <c r="G82" s="5">
        <f t="shared" si="1"/>
        <v>2.0000000000000049E-2</v>
      </c>
      <c r="H82" s="10" t="s">
        <v>77</v>
      </c>
    </row>
    <row r="83" spans="1:8" x14ac:dyDescent="0.25">
      <c r="A83">
        <v>82</v>
      </c>
      <c r="B83" s="10" t="s">
        <v>156</v>
      </c>
      <c r="C83" s="10" t="s">
        <v>105</v>
      </c>
      <c r="D83" s="11">
        <v>51</v>
      </c>
      <c r="E83" s="11">
        <v>55</v>
      </c>
      <c r="F83" s="12" t="s">
        <v>45</v>
      </c>
      <c r="G83" s="5">
        <f t="shared" si="1"/>
        <v>7.8431372549019607E-2</v>
      </c>
      <c r="H83" s="10" t="s">
        <v>76</v>
      </c>
    </row>
    <row r="84" spans="1:8" x14ac:dyDescent="0.25">
      <c r="A84">
        <v>83</v>
      </c>
      <c r="B84" s="10" t="s">
        <v>171</v>
      </c>
      <c r="C84" s="10" t="s">
        <v>305</v>
      </c>
      <c r="D84" s="11">
        <v>33.144599999999997</v>
      </c>
      <c r="E84" s="11">
        <v>33.807491999999996</v>
      </c>
      <c r="F84" s="12" t="s">
        <v>306</v>
      </c>
      <c r="G84" s="5">
        <f t="shared" si="1"/>
        <v>1.9999999999999983E-2</v>
      </c>
      <c r="H84" s="10" t="s">
        <v>71</v>
      </c>
    </row>
    <row r="85" spans="1:8" x14ac:dyDescent="0.25">
      <c r="A85">
        <v>84</v>
      </c>
      <c r="B85" s="10" t="s">
        <v>307</v>
      </c>
      <c r="C85" s="10" t="s">
        <v>308</v>
      </c>
      <c r="D85" s="11">
        <v>73.418099999999995</v>
      </c>
      <c r="E85" s="11">
        <v>76</v>
      </c>
      <c r="F85" s="12" t="s">
        <v>309</v>
      </c>
      <c r="G85" s="5">
        <f t="shared" si="1"/>
        <v>3.5167077328342802E-2</v>
      </c>
      <c r="H85" s="10" t="s">
        <v>77</v>
      </c>
    </row>
    <row r="86" spans="1:8" x14ac:dyDescent="0.25">
      <c r="A86">
        <v>85</v>
      </c>
      <c r="B86" s="10" t="s">
        <v>178</v>
      </c>
      <c r="C86" s="10" t="s">
        <v>310</v>
      </c>
      <c r="D86" s="11">
        <v>34.516800000000003</v>
      </c>
      <c r="E86" s="11">
        <v>35.6</v>
      </c>
      <c r="F86" s="12" t="s">
        <v>311</v>
      </c>
      <c r="G86" s="5">
        <f t="shared" si="1"/>
        <v>3.1381819867426816E-2</v>
      </c>
      <c r="H86" s="10" t="s">
        <v>71</v>
      </c>
    </row>
    <row r="87" spans="1:8" x14ac:dyDescent="0.25">
      <c r="A87">
        <v>86</v>
      </c>
      <c r="B87" s="10" t="s">
        <v>312</v>
      </c>
      <c r="C87" s="10" t="s">
        <v>313</v>
      </c>
      <c r="D87" s="11">
        <v>60.872</v>
      </c>
      <c r="E87" s="11">
        <v>63</v>
      </c>
      <c r="F87" s="12" t="s">
        <v>314</v>
      </c>
      <c r="G87" s="5">
        <f t="shared" si="1"/>
        <v>3.4958601655933765E-2</v>
      </c>
      <c r="H87" s="10" t="s">
        <v>76</v>
      </c>
    </row>
    <row r="88" spans="1:8" x14ac:dyDescent="0.25">
      <c r="A88">
        <v>87</v>
      </c>
      <c r="B88" s="10" t="s">
        <v>315</v>
      </c>
      <c r="C88" s="10" t="s">
        <v>316</v>
      </c>
      <c r="D88" s="11">
        <v>73.418099999999995</v>
      </c>
      <c r="E88" s="11">
        <v>75</v>
      </c>
      <c r="F88" s="12" t="s">
        <v>317</v>
      </c>
      <c r="G88" s="5">
        <f t="shared" si="1"/>
        <v>2.1546457889811976E-2</v>
      </c>
      <c r="H88" s="10" t="s">
        <v>77</v>
      </c>
    </row>
    <row r="89" spans="1:8" x14ac:dyDescent="0.25">
      <c r="A89">
        <v>88</v>
      </c>
      <c r="B89" s="10" t="s">
        <v>318</v>
      </c>
      <c r="C89" s="10" t="s">
        <v>319</v>
      </c>
      <c r="D89" s="11">
        <v>47.268700000000003</v>
      </c>
      <c r="E89" s="11">
        <v>48.214074000000004</v>
      </c>
      <c r="F89" s="12" t="s">
        <v>320</v>
      </c>
      <c r="G89" s="5">
        <f t="shared" si="1"/>
        <v>2.0000000000000021E-2</v>
      </c>
      <c r="H89" s="10" t="s">
        <v>70</v>
      </c>
    </row>
    <row r="90" spans="1:8" x14ac:dyDescent="0.25">
      <c r="A90">
        <v>89</v>
      </c>
      <c r="B90" s="10" t="s">
        <v>141</v>
      </c>
      <c r="C90" s="10" t="s">
        <v>117</v>
      </c>
      <c r="D90" s="11">
        <v>62</v>
      </c>
      <c r="E90" s="11">
        <v>63</v>
      </c>
      <c r="F90" s="12" t="s">
        <v>56</v>
      </c>
      <c r="G90" s="5">
        <f t="shared" si="1"/>
        <v>1.6129032258064516E-2</v>
      </c>
      <c r="H90" s="10" t="s">
        <v>77</v>
      </c>
    </row>
    <row r="91" spans="1:8" x14ac:dyDescent="0.25">
      <c r="A91">
        <v>90</v>
      </c>
      <c r="B91" s="10" t="s">
        <v>321</v>
      </c>
      <c r="C91" s="10" t="s">
        <v>322</v>
      </c>
      <c r="D91" s="11">
        <v>34.516800000000003</v>
      </c>
      <c r="E91" s="11">
        <v>35.207136000000006</v>
      </c>
      <c r="F91" s="12" t="s">
        <v>323</v>
      </c>
      <c r="G91" s="5">
        <f t="shared" si="1"/>
        <v>2.0000000000000056E-2</v>
      </c>
      <c r="H91" s="10" t="s">
        <v>71</v>
      </c>
    </row>
    <row r="92" spans="1:8" x14ac:dyDescent="0.25">
      <c r="A92">
        <v>91</v>
      </c>
      <c r="B92" s="10" t="s">
        <v>137</v>
      </c>
      <c r="C92" s="10" t="s">
        <v>324</v>
      </c>
      <c r="D92" s="11">
        <v>37.450000000000003</v>
      </c>
      <c r="E92" s="11">
        <v>38.199000000000005</v>
      </c>
      <c r="F92" s="12" t="s">
        <v>325</v>
      </c>
      <c r="G92" s="5">
        <f t="shared" si="1"/>
        <v>2.0000000000000059E-2</v>
      </c>
      <c r="H92" s="10" t="s">
        <v>71</v>
      </c>
    </row>
    <row r="93" spans="1:8" x14ac:dyDescent="0.25">
      <c r="A93">
        <v>92</v>
      </c>
      <c r="B93" s="10" t="s">
        <v>165</v>
      </c>
      <c r="C93" s="10" t="s">
        <v>326</v>
      </c>
      <c r="D93" s="11">
        <v>70</v>
      </c>
      <c r="E93" s="11">
        <v>72</v>
      </c>
      <c r="F93" s="12" t="s">
        <v>327</v>
      </c>
      <c r="G93" s="5">
        <f t="shared" si="1"/>
        <v>2.8571428571428571E-2</v>
      </c>
      <c r="H93" s="10" t="s">
        <v>77</v>
      </c>
    </row>
    <row r="94" spans="1:8" x14ac:dyDescent="0.25">
      <c r="A94">
        <v>93</v>
      </c>
      <c r="B94" s="10" t="s">
        <v>328</v>
      </c>
      <c r="C94" s="10" t="s">
        <v>329</v>
      </c>
      <c r="D94" s="11">
        <v>65</v>
      </c>
      <c r="E94" s="11">
        <v>66.3</v>
      </c>
      <c r="F94" s="12" t="s">
        <v>330</v>
      </c>
      <c r="G94" s="5">
        <f t="shared" si="1"/>
        <v>1.9999999999999955E-2</v>
      </c>
      <c r="H94" s="10" t="s">
        <v>76</v>
      </c>
    </row>
    <row r="95" spans="1:8" x14ac:dyDescent="0.25">
      <c r="A95">
        <v>94</v>
      </c>
      <c r="B95" s="10" t="s">
        <v>172</v>
      </c>
      <c r="C95" s="10" t="s">
        <v>331</v>
      </c>
      <c r="D95" s="11">
        <v>69</v>
      </c>
      <c r="E95" s="11">
        <v>70.38</v>
      </c>
      <c r="F95" s="12" t="s">
        <v>332</v>
      </c>
      <c r="G95" s="5">
        <f t="shared" si="1"/>
        <v>1.9999999999999934E-2</v>
      </c>
      <c r="H95" s="10" t="s">
        <v>77</v>
      </c>
    </row>
    <row r="96" spans="1:8" x14ac:dyDescent="0.25">
      <c r="A96">
        <v>95</v>
      </c>
      <c r="B96" s="10" t="s">
        <v>333</v>
      </c>
      <c r="C96" s="10" t="s">
        <v>334</v>
      </c>
      <c r="D96" s="11">
        <v>52.8</v>
      </c>
      <c r="E96" s="11">
        <v>53.855999999999995</v>
      </c>
      <c r="F96" s="12" t="s">
        <v>335</v>
      </c>
      <c r="G96" s="5">
        <f t="shared" si="1"/>
        <v>1.9999999999999952E-2</v>
      </c>
      <c r="H96" s="10" t="s">
        <v>76</v>
      </c>
    </row>
    <row r="97" spans="1:8" x14ac:dyDescent="0.25">
      <c r="A97">
        <v>96</v>
      </c>
      <c r="B97" s="10" t="s">
        <v>166</v>
      </c>
      <c r="C97" s="10" t="s">
        <v>101</v>
      </c>
      <c r="D97" s="11">
        <v>35</v>
      </c>
      <c r="E97" s="11">
        <v>38</v>
      </c>
      <c r="F97" s="12" t="s">
        <v>54</v>
      </c>
      <c r="G97" s="5">
        <f t="shared" si="1"/>
        <v>8.5714285714285715E-2</v>
      </c>
      <c r="H97" s="10" t="s">
        <v>336</v>
      </c>
    </row>
    <row r="98" spans="1:8" x14ac:dyDescent="0.25">
      <c r="A98">
        <v>97</v>
      </c>
      <c r="B98" s="10" t="s">
        <v>131</v>
      </c>
      <c r="C98" s="10" t="s">
        <v>79</v>
      </c>
      <c r="D98" s="11">
        <v>37.5</v>
      </c>
      <c r="E98" s="11">
        <v>42.5</v>
      </c>
      <c r="F98" s="12" t="s">
        <v>20</v>
      </c>
      <c r="G98" s="5">
        <f t="shared" si="1"/>
        <v>0.13333333333333333</v>
      </c>
      <c r="H98" s="10" t="s">
        <v>69</v>
      </c>
    </row>
    <row r="99" spans="1:8" x14ac:dyDescent="0.25">
      <c r="A99">
        <v>98</v>
      </c>
      <c r="B99" s="10" t="s">
        <v>152</v>
      </c>
      <c r="C99" s="10" t="s">
        <v>100</v>
      </c>
      <c r="D99" s="11">
        <v>27.17</v>
      </c>
      <c r="E99" s="11">
        <v>28.17</v>
      </c>
      <c r="F99" s="12" t="s">
        <v>41</v>
      </c>
      <c r="G99" s="5">
        <f t="shared" si="1"/>
        <v>3.6805299963194697E-2</v>
      </c>
      <c r="H99" s="10" t="s">
        <v>75</v>
      </c>
    </row>
    <row r="100" spans="1:8" x14ac:dyDescent="0.25">
      <c r="A100">
        <v>99</v>
      </c>
      <c r="B100" s="10" t="s">
        <v>151</v>
      </c>
      <c r="C100" s="10" t="s">
        <v>99</v>
      </c>
      <c r="D100" s="11">
        <v>27.22</v>
      </c>
      <c r="E100" s="11">
        <v>28.17</v>
      </c>
      <c r="F100" s="12" t="s">
        <v>40</v>
      </c>
      <c r="G100" s="5">
        <f t="shared" si="1"/>
        <v>3.490080822924331E-2</v>
      </c>
      <c r="H100" s="10" t="s">
        <v>75</v>
      </c>
    </row>
    <row r="101" spans="1:8" x14ac:dyDescent="0.25">
      <c r="A101">
        <v>100</v>
      </c>
      <c r="B101" s="10" t="s">
        <v>337</v>
      </c>
      <c r="C101" s="10" t="s">
        <v>338</v>
      </c>
      <c r="D101" s="11">
        <v>27.22</v>
      </c>
      <c r="E101" s="11">
        <v>28.17</v>
      </c>
      <c r="F101" s="12" t="s">
        <v>339</v>
      </c>
      <c r="G101" s="5">
        <f t="shared" si="1"/>
        <v>3.490080822924331E-2</v>
      </c>
      <c r="H101" s="10" t="s">
        <v>75</v>
      </c>
    </row>
    <row r="102" spans="1:8" x14ac:dyDescent="0.25">
      <c r="A102">
        <v>101</v>
      </c>
      <c r="B102" s="10" t="s">
        <v>181</v>
      </c>
      <c r="C102" s="10" t="s">
        <v>128</v>
      </c>
      <c r="D102" s="11">
        <v>21.736000000000001</v>
      </c>
      <c r="E102" s="11">
        <v>22.536000000000001</v>
      </c>
      <c r="F102" s="12" t="s">
        <v>65</v>
      </c>
      <c r="G102" s="5">
        <f t="shared" si="1"/>
        <v>3.6805299963194732E-2</v>
      </c>
      <c r="H102" s="10" t="s">
        <v>75</v>
      </c>
    </row>
    <row r="103" spans="1:8" x14ac:dyDescent="0.25">
      <c r="A103">
        <v>102</v>
      </c>
      <c r="B103" s="10" t="s">
        <v>340</v>
      </c>
      <c r="C103" s="10" t="s">
        <v>341</v>
      </c>
      <c r="D103" s="11">
        <v>72</v>
      </c>
      <c r="E103" s="11">
        <v>73.44</v>
      </c>
      <c r="F103" s="12" t="s">
        <v>342</v>
      </c>
      <c r="G103" s="5">
        <f t="shared" si="1"/>
        <v>1.9999999999999969E-2</v>
      </c>
      <c r="H103" s="10" t="s">
        <v>77</v>
      </c>
    </row>
    <row r="104" spans="1:8" x14ac:dyDescent="0.25">
      <c r="A104">
        <v>103</v>
      </c>
      <c r="B104" s="10" t="s">
        <v>168</v>
      </c>
      <c r="C104" s="10" t="s">
        <v>343</v>
      </c>
      <c r="D104" s="11">
        <v>85</v>
      </c>
      <c r="E104" s="11">
        <v>86.7</v>
      </c>
      <c r="F104" s="12" t="s">
        <v>344</v>
      </c>
      <c r="G104" s="5">
        <f t="shared" si="1"/>
        <v>2.0000000000000035E-2</v>
      </c>
      <c r="H104" s="10" t="s">
        <v>77</v>
      </c>
    </row>
    <row r="105" spans="1:8" x14ac:dyDescent="0.25">
      <c r="A105">
        <v>104</v>
      </c>
      <c r="B105" s="10" t="s">
        <v>148</v>
      </c>
      <c r="C105" s="10" t="s">
        <v>95</v>
      </c>
      <c r="D105" s="11">
        <v>28.09</v>
      </c>
      <c r="E105" s="11">
        <v>29.12</v>
      </c>
      <c r="F105" s="12" t="s">
        <v>37</v>
      </c>
      <c r="G105" s="5">
        <f t="shared" si="1"/>
        <v>3.6667853328586728E-2</v>
      </c>
      <c r="H105" s="10" t="s">
        <v>72</v>
      </c>
    </row>
    <row r="106" spans="1:8" x14ac:dyDescent="0.25">
      <c r="A106">
        <v>105</v>
      </c>
      <c r="B106" s="10" t="s">
        <v>345</v>
      </c>
      <c r="C106" s="10" t="s">
        <v>98</v>
      </c>
      <c r="D106" s="11">
        <v>28.51</v>
      </c>
      <c r="E106" s="11">
        <v>29.12</v>
      </c>
      <c r="F106" s="12" t="s">
        <v>60</v>
      </c>
      <c r="G106" s="5">
        <f t="shared" si="1"/>
        <v>2.1396001403016465E-2</v>
      </c>
      <c r="H106" s="10" t="s">
        <v>72</v>
      </c>
    </row>
    <row r="107" spans="1:8" x14ac:dyDescent="0.25">
      <c r="A107">
        <v>106</v>
      </c>
      <c r="B107" s="10" t="s">
        <v>346</v>
      </c>
      <c r="C107" s="10" t="s">
        <v>347</v>
      </c>
      <c r="D107" s="11">
        <v>48</v>
      </c>
      <c r="E107" s="11">
        <v>48.5</v>
      </c>
      <c r="F107" s="12" t="s">
        <v>348</v>
      </c>
      <c r="G107" s="5">
        <f t="shared" si="1"/>
        <v>1.0416666666666666E-2</v>
      </c>
      <c r="H107" s="10" t="s">
        <v>76</v>
      </c>
    </row>
    <row r="108" spans="1:8" x14ac:dyDescent="0.25">
      <c r="A108">
        <v>107</v>
      </c>
      <c r="B108" s="10" t="s">
        <v>169</v>
      </c>
      <c r="C108" s="10" t="s">
        <v>118</v>
      </c>
      <c r="D108" s="11">
        <v>28.14</v>
      </c>
      <c r="E108" s="11">
        <v>29.12</v>
      </c>
      <c r="F108" s="12" t="s">
        <v>57</v>
      </c>
      <c r="G108" s="5">
        <f t="shared" si="1"/>
        <v>3.4825870646766184E-2</v>
      </c>
      <c r="H108" s="10" t="s">
        <v>72</v>
      </c>
    </row>
    <row r="109" spans="1:8" x14ac:dyDescent="0.25">
      <c r="A109">
        <v>108</v>
      </c>
      <c r="B109" s="10" t="s">
        <v>349</v>
      </c>
      <c r="C109" s="10" t="s">
        <v>350</v>
      </c>
      <c r="D109" s="11">
        <v>27.17</v>
      </c>
      <c r="E109" s="11">
        <v>28.17</v>
      </c>
      <c r="F109" s="12" t="s">
        <v>351</v>
      </c>
      <c r="G109" s="5">
        <f t="shared" si="1"/>
        <v>3.6805299963194697E-2</v>
      </c>
      <c r="H109" s="10" t="s">
        <v>75</v>
      </c>
    </row>
    <row r="110" spans="1:8" x14ac:dyDescent="0.25">
      <c r="A110">
        <v>109</v>
      </c>
      <c r="B110" s="10" t="s">
        <v>352</v>
      </c>
      <c r="C110" s="10" t="s">
        <v>353</v>
      </c>
      <c r="D110" s="11">
        <v>32.5</v>
      </c>
      <c r="E110" s="11">
        <v>33.15</v>
      </c>
      <c r="F110" s="12" t="s">
        <v>354</v>
      </c>
      <c r="G110" s="5">
        <f t="shared" si="1"/>
        <v>1.9999999999999955E-2</v>
      </c>
      <c r="H110" s="10" t="s">
        <v>71</v>
      </c>
    </row>
    <row r="111" spans="1:8" x14ac:dyDescent="0.25">
      <c r="A111">
        <v>110</v>
      </c>
      <c r="B111" s="10" t="s">
        <v>321</v>
      </c>
      <c r="C111" s="10" t="s">
        <v>355</v>
      </c>
      <c r="D111" s="11">
        <v>37</v>
      </c>
      <c r="E111" s="11">
        <v>37.74</v>
      </c>
      <c r="F111" s="12" t="s">
        <v>356</v>
      </c>
      <c r="G111" s="5">
        <f t="shared" si="1"/>
        <v>2.0000000000000052E-2</v>
      </c>
      <c r="H111" s="10" t="s">
        <v>71</v>
      </c>
    </row>
    <row r="112" spans="1:8" x14ac:dyDescent="0.25">
      <c r="A112">
        <v>111</v>
      </c>
      <c r="B112" s="10" t="s">
        <v>215</v>
      </c>
      <c r="C112" s="10" t="s">
        <v>357</v>
      </c>
      <c r="D112" s="11">
        <v>27.17</v>
      </c>
      <c r="E112" s="11">
        <v>28.17</v>
      </c>
      <c r="F112" s="12" t="s">
        <v>358</v>
      </c>
      <c r="G112" s="5">
        <f t="shared" si="1"/>
        <v>3.6805299963194697E-2</v>
      </c>
      <c r="H112" s="10" t="s">
        <v>75</v>
      </c>
    </row>
    <row r="113" spans="1:8" x14ac:dyDescent="0.25">
      <c r="A113">
        <v>112</v>
      </c>
      <c r="B113" s="10" t="s">
        <v>359</v>
      </c>
      <c r="C113" s="10" t="s">
        <v>360</v>
      </c>
      <c r="D113" s="11">
        <v>29.6</v>
      </c>
      <c r="E113" s="11">
        <v>32</v>
      </c>
      <c r="F113" s="12" t="s">
        <v>361</v>
      </c>
      <c r="G113" s="5">
        <f t="shared" si="1"/>
        <v>8.108108108108103E-2</v>
      </c>
      <c r="H113" s="10" t="s">
        <v>71</v>
      </c>
    </row>
    <row r="114" spans="1:8" x14ac:dyDescent="0.25">
      <c r="A114">
        <v>113</v>
      </c>
      <c r="B114" s="10" t="s">
        <v>362</v>
      </c>
      <c r="C114" s="10" t="s">
        <v>363</v>
      </c>
      <c r="D114" s="11">
        <v>27.17</v>
      </c>
      <c r="E114" s="11">
        <v>28.17</v>
      </c>
      <c r="F114" s="12" t="s">
        <v>364</v>
      </c>
      <c r="G114" s="5">
        <f t="shared" si="1"/>
        <v>3.6805299963194697E-2</v>
      </c>
      <c r="H114" s="10" t="s">
        <v>75</v>
      </c>
    </row>
    <row r="115" spans="1:8" x14ac:dyDescent="0.25">
      <c r="A115">
        <v>114</v>
      </c>
      <c r="B115" s="10" t="s">
        <v>365</v>
      </c>
      <c r="C115" s="10" t="s">
        <v>366</v>
      </c>
      <c r="D115" s="11">
        <v>27.17</v>
      </c>
      <c r="E115" s="11">
        <v>28.17</v>
      </c>
      <c r="F115" s="12" t="s">
        <v>367</v>
      </c>
      <c r="G115" s="5">
        <f t="shared" si="1"/>
        <v>3.6805299963194697E-2</v>
      </c>
      <c r="H115" s="10" t="s">
        <v>75</v>
      </c>
    </row>
    <row r="116" spans="1:8" x14ac:dyDescent="0.25">
      <c r="A116">
        <v>115</v>
      </c>
      <c r="B116" s="10" t="s">
        <v>368</v>
      </c>
      <c r="C116" s="10" t="s">
        <v>369</v>
      </c>
      <c r="D116" s="11">
        <v>28.09</v>
      </c>
      <c r="E116" s="11">
        <v>29.12</v>
      </c>
      <c r="F116" s="12" t="s">
        <v>370</v>
      </c>
      <c r="G116" s="5">
        <f t="shared" si="1"/>
        <v>3.6667853328586728E-2</v>
      </c>
      <c r="H116" s="10" t="s">
        <v>72</v>
      </c>
    </row>
    <row r="117" spans="1:8" x14ac:dyDescent="0.25">
      <c r="A117">
        <v>116</v>
      </c>
      <c r="B117" s="10" t="s">
        <v>371</v>
      </c>
      <c r="C117" s="10" t="s">
        <v>372</v>
      </c>
      <c r="D117" s="11">
        <v>29.6</v>
      </c>
      <c r="E117" s="11">
        <v>30.69</v>
      </c>
      <c r="F117" s="12" t="s">
        <v>373</v>
      </c>
      <c r="G117" s="5">
        <f t="shared" si="1"/>
        <v>3.6824324324324316E-2</v>
      </c>
      <c r="H117" s="10" t="s">
        <v>71</v>
      </c>
    </row>
    <row r="118" spans="1:8" x14ac:dyDescent="0.25">
      <c r="A118">
        <v>117</v>
      </c>
      <c r="B118" s="10" t="s">
        <v>374</v>
      </c>
      <c r="C118" s="10" t="s">
        <v>375</v>
      </c>
      <c r="D118" s="11">
        <v>28.09</v>
      </c>
      <c r="E118" s="11">
        <v>29.12</v>
      </c>
      <c r="F118" s="12" t="s">
        <v>376</v>
      </c>
      <c r="G118" s="5">
        <f t="shared" si="1"/>
        <v>3.6667853328586728E-2</v>
      </c>
      <c r="H118" s="10" t="s">
        <v>72</v>
      </c>
    </row>
    <row r="119" spans="1:8" x14ac:dyDescent="0.25">
      <c r="A119">
        <v>118</v>
      </c>
      <c r="B119" s="10" t="s">
        <v>377</v>
      </c>
      <c r="C119" s="10" t="s">
        <v>378</v>
      </c>
      <c r="D119" s="11">
        <v>71.75</v>
      </c>
      <c r="E119" s="11">
        <v>74.5</v>
      </c>
      <c r="F119" s="12" t="s">
        <v>379</v>
      </c>
      <c r="G119" s="5">
        <f t="shared" si="1"/>
        <v>3.8327526132404179E-2</v>
      </c>
      <c r="H119" s="10" t="s">
        <v>78</v>
      </c>
    </row>
    <row r="120" spans="1:8" x14ac:dyDescent="0.25">
      <c r="A120">
        <v>119</v>
      </c>
      <c r="B120" s="10" t="s">
        <v>179</v>
      </c>
      <c r="C120" s="10" t="s">
        <v>380</v>
      </c>
      <c r="D120" s="11">
        <v>30</v>
      </c>
      <c r="E120" s="11">
        <v>30.69</v>
      </c>
      <c r="F120" s="12" t="s">
        <v>381</v>
      </c>
      <c r="G120" s="5">
        <f t="shared" si="1"/>
        <v>2.3000000000000041E-2</v>
      </c>
      <c r="H120" s="10" t="s">
        <v>71</v>
      </c>
    </row>
    <row r="121" spans="1:8" x14ac:dyDescent="0.25">
      <c r="A121">
        <v>120</v>
      </c>
      <c r="B121" s="10" t="s">
        <v>382</v>
      </c>
      <c r="C121" s="10" t="s">
        <v>383</v>
      </c>
      <c r="D121" s="11">
        <v>29</v>
      </c>
      <c r="E121" s="11">
        <v>29.25</v>
      </c>
      <c r="F121" s="12" t="s">
        <v>384</v>
      </c>
      <c r="G121" s="5">
        <f t="shared" si="1"/>
        <v>8.6206896551724137E-3</v>
      </c>
      <c r="H121" s="10" t="s">
        <v>72</v>
      </c>
    </row>
    <row r="122" spans="1:8" x14ac:dyDescent="0.25">
      <c r="A122">
        <v>121</v>
      </c>
      <c r="B122" s="10" t="s">
        <v>385</v>
      </c>
      <c r="C122" s="10" t="s">
        <v>386</v>
      </c>
      <c r="D122" s="11">
        <v>73</v>
      </c>
      <c r="E122" s="11">
        <v>74</v>
      </c>
      <c r="F122" s="12" t="s">
        <v>387</v>
      </c>
      <c r="G122" s="5">
        <f t="shared" si="1"/>
        <v>1.3698630136986301E-2</v>
      </c>
      <c r="H122" s="10" t="s">
        <v>77</v>
      </c>
    </row>
    <row r="123" spans="1:8" x14ac:dyDescent="0.25">
      <c r="A123">
        <v>122</v>
      </c>
      <c r="B123" s="10" t="s">
        <v>388</v>
      </c>
      <c r="C123" s="10" t="s">
        <v>389</v>
      </c>
      <c r="D123" s="11">
        <v>42</v>
      </c>
      <c r="E123" s="11">
        <v>42.84</v>
      </c>
      <c r="F123" s="12" t="s">
        <v>390</v>
      </c>
      <c r="G123" s="5">
        <f t="shared" si="1"/>
        <v>2.000000000000008E-2</v>
      </c>
      <c r="H123" s="10" t="s">
        <v>74</v>
      </c>
    </row>
    <row r="124" spans="1:8" x14ac:dyDescent="0.25">
      <c r="A124">
        <v>123</v>
      </c>
      <c r="B124" s="10" t="s">
        <v>391</v>
      </c>
      <c r="C124" s="10" t="s">
        <v>392</v>
      </c>
      <c r="D124" s="11">
        <v>60</v>
      </c>
      <c r="E124" s="11">
        <v>61.2</v>
      </c>
      <c r="F124" s="12" t="s">
        <v>393</v>
      </c>
      <c r="G124" s="5">
        <f t="shared" si="1"/>
        <v>2.0000000000000049E-2</v>
      </c>
      <c r="H124" s="10" t="s">
        <v>77</v>
      </c>
    </row>
    <row r="125" spans="1:8" x14ac:dyDescent="0.25">
      <c r="A125">
        <v>124</v>
      </c>
      <c r="B125" s="10" t="s">
        <v>394</v>
      </c>
      <c r="C125" s="10" t="s">
        <v>395</v>
      </c>
      <c r="D125" s="11">
        <v>70</v>
      </c>
      <c r="E125" s="11">
        <v>75</v>
      </c>
      <c r="F125" s="12" t="s">
        <v>396</v>
      </c>
      <c r="G125" s="5">
        <f t="shared" si="1"/>
        <v>7.1428571428571425E-2</v>
      </c>
      <c r="H125" s="10" t="s">
        <v>77</v>
      </c>
    </row>
    <row r="126" spans="1:8" x14ac:dyDescent="0.25">
      <c r="A126">
        <v>125</v>
      </c>
      <c r="B126" s="10" t="s">
        <v>397</v>
      </c>
      <c r="C126" s="10" t="s">
        <v>105</v>
      </c>
      <c r="D126" s="11">
        <v>66</v>
      </c>
      <c r="E126" s="11">
        <v>67.319999999999993</v>
      </c>
      <c r="F126" s="12" t="s">
        <v>398</v>
      </c>
      <c r="G126" s="5">
        <f t="shared" si="1"/>
        <v>1.9999999999999896E-2</v>
      </c>
      <c r="H126" s="10" t="s">
        <v>77</v>
      </c>
    </row>
    <row r="127" spans="1:8" x14ac:dyDescent="0.25">
      <c r="A127">
        <v>126</v>
      </c>
      <c r="B127" s="10" t="s">
        <v>174</v>
      </c>
      <c r="C127" s="10" t="s">
        <v>399</v>
      </c>
      <c r="D127" s="11">
        <v>48</v>
      </c>
      <c r="E127" s="11">
        <v>48.5</v>
      </c>
      <c r="F127" s="12" t="s">
        <v>400</v>
      </c>
      <c r="G127" s="5">
        <f t="shared" si="1"/>
        <v>1.0416666666666666E-2</v>
      </c>
      <c r="H127" s="10" t="s">
        <v>401</v>
      </c>
    </row>
    <row r="128" spans="1:8" x14ac:dyDescent="0.25">
      <c r="A128">
        <v>127</v>
      </c>
      <c r="B128" s="10" t="s">
        <v>174</v>
      </c>
      <c r="C128" s="10" t="s">
        <v>402</v>
      </c>
      <c r="D128" s="11">
        <v>40</v>
      </c>
      <c r="E128" s="11">
        <v>50</v>
      </c>
      <c r="F128" s="12" t="s">
        <v>403</v>
      </c>
      <c r="G128" s="5">
        <f t="shared" si="1"/>
        <v>0.25</v>
      </c>
      <c r="H128" s="10" t="s">
        <v>404</v>
      </c>
    </row>
    <row r="129" spans="1:8" x14ac:dyDescent="0.25">
      <c r="A129">
        <v>128</v>
      </c>
      <c r="B129" s="10" t="s">
        <v>405</v>
      </c>
      <c r="C129" s="10" t="s">
        <v>406</v>
      </c>
      <c r="D129" s="11">
        <v>75</v>
      </c>
      <c r="E129" s="11">
        <v>78</v>
      </c>
      <c r="F129" s="12" t="s">
        <v>407</v>
      </c>
      <c r="G129" s="5">
        <f t="shared" si="1"/>
        <v>0.04</v>
      </c>
      <c r="H129" s="10" t="s">
        <v>77</v>
      </c>
    </row>
    <row r="130" spans="1:8" x14ac:dyDescent="0.25">
      <c r="A130">
        <v>129</v>
      </c>
      <c r="B130" s="10" t="s">
        <v>168</v>
      </c>
      <c r="C130" s="10" t="s">
        <v>408</v>
      </c>
      <c r="D130" s="11">
        <v>24.452999999999999</v>
      </c>
      <c r="E130" s="11">
        <v>25.353000000000002</v>
      </c>
      <c r="F130" s="12" t="s">
        <v>409</v>
      </c>
      <c r="G130" s="5">
        <f t="shared" si="1"/>
        <v>3.6805299963194787E-2</v>
      </c>
      <c r="H130" s="10" t="s">
        <v>75</v>
      </c>
    </row>
    <row r="131" spans="1:8" x14ac:dyDescent="0.25">
      <c r="A131">
        <v>130</v>
      </c>
      <c r="B131" s="10" t="s">
        <v>410</v>
      </c>
      <c r="C131" s="10" t="s">
        <v>411</v>
      </c>
      <c r="D131" s="11">
        <v>78</v>
      </c>
      <c r="E131" s="11">
        <v>79.56</v>
      </c>
      <c r="F131" s="12" t="s">
        <v>412</v>
      </c>
      <c r="G131" s="5">
        <f t="shared" ref="G131:G169" si="2">(E131-D131)/D131</f>
        <v>2.0000000000000028E-2</v>
      </c>
      <c r="H131" s="10" t="s">
        <v>77</v>
      </c>
    </row>
    <row r="132" spans="1:8" x14ac:dyDescent="0.25">
      <c r="A132">
        <v>131</v>
      </c>
      <c r="B132" s="10" t="s">
        <v>413</v>
      </c>
      <c r="C132" s="10" t="s">
        <v>116</v>
      </c>
      <c r="D132" s="11">
        <v>38</v>
      </c>
      <c r="E132" s="11">
        <v>40</v>
      </c>
      <c r="F132" s="12" t="s">
        <v>414</v>
      </c>
      <c r="G132" s="5">
        <f t="shared" si="2"/>
        <v>5.2631578947368418E-2</v>
      </c>
      <c r="H132" s="10" t="s">
        <v>69</v>
      </c>
    </row>
    <row r="133" spans="1:8" x14ac:dyDescent="0.25">
      <c r="A133">
        <v>132</v>
      </c>
      <c r="B133" s="10" t="s">
        <v>415</v>
      </c>
      <c r="C133" s="10" t="s">
        <v>416</v>
      </c>
      <c r="D133" s="11">
        <v>72</v>
      </c>
      <c r="E133" s="11">
        <v>73.44</v>
      </c>
      <c r="F133" s="12" t="s">
        <v>417</v>
      </c>
      <c r="G133" s="5">
        <f t="shared" si="2"/>
        <v>1.9999999999999969E-2</v>
      </c>
      <c r="H133" s="10" t="s">
        <v>77</v>
      </c>
    </row>
    <row r="134" spans="1:8" x14ac:dyDescent="0.25">
      <c r="A134">
        <v>133</v>
      </c>
      <c r="B134" s="10" t="s">
        <v>147</v>
      </c>
      <c r="C134" s="10" t="s">
        <v>418</v>
      </c>
      <c r="D134" s="11">
        <v>51</v>
      </c>
      <c r="E134" s="11">
        <v>52</v>
      </c>
      <c r="F134" s="12" t="s">
        <v>419</v>
      </c>
      <c r="G134" s="5">
        <f t="shared" si="2"/>
        <v>1.9607843137254902E-2</v>
      </c>
      <c r="H134" s="10" t="s">
        <v>76</v>
      </c>
    </row>
    <row r="135" spans="1:8" x14ac:dyDescent="0.25">
      <c r="A135">
        <v>134</v>
      </c>
      <c r="B135" s="10" t="s">
        <v>420</v>
      </c>
      <c r="C135" s="10" t="s">
        <v>421</v>
      </c>
      <c r="D135" s="11">
        <v>80</v>
      </c>
      <c r="E135" s="11">
        <v>81.599999999999994</v>
      </c>
      <c r="F135" s="12" t="s">
        <v>422</v>
      </c>
      <c r="G135" s="5">
        <f t="shared" si="2"/>
        <v>1.9999999999999928E-2</v>
      </c>
      <c r="H135" s="10" t="s">
        <v>77</v>
      </c>
    </row>
    <row r="136" spans="1:8" x14ac:dyDescent="0.25">
      <c r="A136">
        <v>135</v>
      </c>
      <c r="B136" s="10" t="s">
        <v>423</v>
      </c>
      <c r="C136" s="10" t="s">
        <v>288</v>
      </c>
      <c r="D136" s="11">
        <v>38</v>
      </c>
      <c r="E136" s="11">
        <v>40</v>
      </c>
      <c r="F136" s="12" t="s">
        <v>424</v>
      </c>
      <c r="G136" s="5">
        <f t="shared" si="2"/>
        <v>5.2631578947368418E-2</v>
      </c>
      <c r="H136" s="10" t="s">
        <v>69</v>
      </c>
    </row>
    <row r="137" spans="1:8" x14ac:dyDescent="0.25">
      <c r="A137">
        <v>136</v>
      </c>
      <c r="B137" s="10" t="s">
        <v>425</v>
      </c>
      <c r="C137" s="10" t="s">
        <v>426</v>
      </c>
      <c r="D137" s="11">
        <v>75.2</v>
      </c>
      <c r="E137" s="11">
        <v>76.704000000000008</v>
      </c>
      <c r="F137" s="12" t="s">
        <v>427</v>
      </c>
      <c r="G137" s="5">
        <f t="shared" si="2"/>
        <v>2.0000000000000063E-2</v>
      </c>
      <c r="H137" s="10" t="s">
        <v>77</v>
      </c>
    </row>
    <row r="138" spans="1:8" x14ac:dyDescent="0.25">
      <c r="A138">
        <v>137</v>
      </c>
      <c r="B138" s="10" t="s">
        <v>428</v>
      </c>
      <c r="C138" s="10" t="s">
        <v>429</v>
      </c>
      <c r="D138" s="11">
        <v>64</v>
      </c>
      <c r="E138" s="11">
        <v>66</v>
      </c>
      <c r="F138" s="12" t="s">
        <v>430</v>
      </c>
      <c r="G138" s="5">
        <f t="shared" si="2"/>
        <v>3.125E-2</v>
      </c>
      <c r="H138" s="10" t="s">
        <v>77</v>
      </c>
    </row>
    <row r="139" spans="1:8" x14ac:dyDescent="0.25">
      <c r="A139">
        <v>138</v>
      </c>
      <c r="B139" s="10" t="s">
        <v>431</v>
      </c>
      <c r="C139" s="10" t="s">
        <v>432</v>
      </c>
      <c r="D139" s="11">
        <v>40.799999999999997</v>
      </c>
      <c r="E139" s="11">
        <v>42.04</v>
      </c>
      <c r="F139" s="12" t="s">
        <v>433</v>
      </c>
      <c r="G139" s="5">
        <f t="shared" si="2"/>
        <v>3.039215686274515E-2</v>
      </c>
      <c r="H139" s="10" t="s">
        <v>76</v>
      </c>
    </row>
    <row r="140" spans="1:8" x14ac:dyDescent="0.25">
      <c r="A140">
        <v>139</v>
      </c>
      <c r="B140" s="10" t="s">
        <v>434</v>
      </c>
      <c r="C140" s="10" t="s">
        <v>435</v>
      </c>
      <c r="D140" s="11">
        <v>38</v>
      </c>
      <c r="E140" s="11">
        <v>40</v>
      </c>
      <c r="F140" s="12" t="s">
        <v>436</v>
      </c>
      <c r="G140" s="5">
        <f t="shared" si="2"/>
        <v>5.2631578947368418E-2</v>
      </c>
      <c r="H140" s="10" t="s">
        <v>69</v>
      </c>
    </row>
    <row r="141" spans="1:8" x14ac:dyDescent="0.25">
      <c r="A141">
        <v>140</v>
      </c>
      <c r="B141" s="10" t="s">
        <v>437</v>
      </c>
      <c r="C141" s="10" t="s">
        <v>438</v>
      </c>
      <c r="D141" s="11">
        <v>72</v>
      </c>
      <c r="E141" s="11">
        <v>73.44</v>
      </c>
      <c r="F141" s="12" t="s">
        <v>439</v>
      </c>
      <c r="G141" s="5">
        <f t="shared" si="2"/>
        <v>1.9999999999999969E-2</v>
      </c>
      <c r="H141" s="10" t="s">
        <v>77</v>
      </c>
    </row>
    <row r="142" spans="1:8" x14ac:dyDescent="0.25">
      <c r="A142">
        <v>141</v>
      </c>
      <c r="B142" s="10" t="s">
        <v>224</v>
      </c>
      <c r="C142" s="10" t="s">
        <v>440</v>
      </c>
      <c r="D142" s="11">
        <v>44</v>
      </c>
      <c r="E142" s="11">
        <v>44.88</v>
      </c>
      <c r="F142" s="12" t="s">
        <v>441</v>
      </c>
      <c r="G142" s="5">
        <f t="shared" si="2"/>
        <v>2.0000000000000059E-2</v>
      </c>
      <c r="H142" s="10" t="s">
        <v>76</v>
      </c>
    </row>
    <row r="143" spans="1:8" x14ac:dyDescent="0.25">
      <c r="A143">
        <v>142</v>
      </c>
      <c r="B143" s="10" t="s">
        <v>224</v>
      </c>
      <c r="C143" s="10" t="s">
        <v>442</v>
      </c>
      <c r="D143" s="11">
        <v>78.2</v>
      </c>
      <c r="E143" s="11">
        <v>79.76400000000001</v>
      </c>
      <c r="F143" s="12" t="s">
        <v>443</v>
      </c>
      <c r="G143" s="5">
        <f t="shared" si="2"/>
        <v>2.0000000000000091E-2</v>
      </c>
      <c r="H143" s="10" t="s">
        <v>77</v>
      </c>
    </row>
    <row r="144" spans="1:8" x14ac:dyDescent="0.25">
      <c r="A144">
        <v>143</v>
      </c>
      <c r="B144" s="10" t="s">
        <v>444</v>
      </c>
      <c r="C144" s="10" t="s">
        <v>245</v>
      </c>
      <c r="D144" s="11">
        <v>41</v>
      </c>
      <c r="E144" s="11">
        <v>41.5</v>
      </c>
      <c r="F144" s="12" t="s">
        <v>445</v>
      </c>
      <c r="G144" s="5">
        <f t="shared" si="2"/>
        <v>1.2195121951219513E-2</v>
      </c>
      <c r="H144" s="10" t="s">
        <v>73</v>
      </c>
    </row>
    <row r="145" spans="1:8" x14ac:dyDescent="0.25">
      <c r="A145">
        <v>144</v>
      </c>
      <c r="B145" s="10" t="s">
        <v>446</v>
      </c>
      <c r="C145" s="10" t="s">
        <v>447</v>
      </c>
      <c r="D145" s="11">
        <v>30</v>
      </c>
      <c r="E145" s="11">
        <v>30.6</v>
      </c>
      <c r="F145" s="12" t="s">
        <v>448</v>
      </c>
      <c r="G145" s="5">
        <f t="shared" si="2"/>
        <v>2.0000000000000049E-2</v>
      </c>
      <c r="H145" s="10" t="s">
        <v>72</v>
      </c>
    </row>
    <row r="146" spans="1:8" x14ac:dyDescent="0.25">
      <c r="A146">
        <v>145</v>
      </c>
      <c r="B146" s="10" t="s">
        <v>449</v>
      </c>
      <c r="C146" s="10" t="s">
        <v>450</v>
      </c>
      <c r="D146" s="11">
        <v>64</v>
      </c>
      <c r="E146" s="11">
        <v>64.900000000000006</v>
      </c>
      <c r="F146" s="12" t="s">
        <v>451</v>
      </c>
      <c r="G146" s="5">
        <f t="shared" si="2"/>
        <v>1.4062500000000089E-2</v>
      </c>
      <c r="H146" s="10" t="s">
        <v>77</v>
      </c>
    </row>
    <row r="147" spans="1:8" x14ac:dyDescent="0.25">
      <c r="A147">
        <v>146</v>
      </c>
      <c r="B147" s="10" t="s">
        <v>352</v>
      </c>
      <c r="C147" s="10" t="s">
        <v>452</v>
      </c>
      <c r="D147" s="11">
        <v>36</v>
      </c>
      <c r="E147" s="11">
        <v>36.72</v>
      </c>
      <c r="F147" s="12" t="s">
        <v>453</v>
      </c>
      <c r="G147" s="5">
        <f t="shared" si="2"/>
        <v>1.9999999999999969E-2</v>
      </c>
      <c r="H147" s="10" t="s">
        <v>70</v>
      </c>
    </row>
    <row r="148" spans="1:8" x14ac:dyDescent="0.25">
      <c r="A148">
        <v>147</v>
      </c>
      <c r="B148" s="10" t="s">
        <v>454</v>
      </c>
      <c r="C148" s="10" t="s">
        <v>455</v>
      </c>
      <c r="D148" s="11">
        <v>68</v>
      </c>
      <c r="E148" s="11">
        <v>69.36</v>
      </c>
      <c r="F148" s="12" t="s">
        <v>456</v>
      </c>
      <c r="G148" s="5">
        <f t="shared" si="2"/>
        <v>1.999999999999999E-2</v>
      </c>
      <c r="H148" s="10" t="s">
        <v>77</v>
      </c>
    </row>
    <row r="149" spans="1:8" x14ac:dyDescent="0.25">
      <c r="A149">
        <v>148</v>
      </c>
      <c r="B149" s="10" t="s">
        <v>134</v>
      </c>
      <c r="C149" s="10" t="s">
        <v>457</v>
      </c>
      <c r="D149" s="11">
        <v>75</v>
      </c>
      <c r="E149" s="11">
        <v>80</v>
      </c>
      <c r="F149" s="12" t="s">
        <v>458</v>
      </c>
      <c r="G149" s="5">
        <f t="shared" si="2"/>
        <v>6.6666666666666666E-2</v>
      </c>
      <c r="H149" s="10" t="s">
        <v>77</v>
      </c>
    </row>
    <row r="150" spans="1:8" x14ac:dyDescent="0.25">
      <c r="A150">
        <v>149</v>
      </c>
      <c r="B150" s="10" t="s">
        <v>459</v>
      </c>
      <c r="C150" s="10" t="s">
        <v>460</v>
      </c>
      <c r="D150" s="11">
        <v>22</v>
      </c>
      <c r="E150" s="11">
        <v>26.936</v>
      </c>
      <c r="F150" s="12" t="s">
        <v>461</v>
      </c>
      <c r="G150" s="5">
        <f t="shared" si="2"/>
        <v>0.22436363636363635</v>
      </c>
      <c r="H150" s="10" t="s">
        <v>75</v>
      </c>
    </row>
    <row r="151" spans="1:8" x14ac:dyDescent="0.25">
      <c r="A151">
        <v>150</v>
      </c>
      <c r="B151" s="10" t="s">
        <v>462</v>
      </c>
      <c r="C151" s="10" t="s">
        <v>463</v>
      </c>
      <c r="D151" s="11">
        <v>75.2</v>
      </c>
      <c r="E151" s="11">
        <v>80</v>
      </c>
      <c r="F151" s="12" t="s">
        <v>464</v>
      </c>
      <c r="G151" s="5">
        <f t="shared" si="2"/>
        <v>6.3829787234042507E-2</v>
      </c>
      <c r="H151" s="10" t="s">
        <v>77</v>
      </c>
    </row>
    <row r="152" spans="1:8" x14ac:dyDescent="0.25">
      <c r="A152">
        <v>151</v>
      </c>
      <c r="B152" s="10" t="s">
        <v>120</v>
      </c>
      <c r="C152" s="10" t="s">
        <v>465</v>
      </c>
      <c r="D152" s="11">
        <v>58</v>
      </c>
      <c r="E152" s="11">
        <v>63</v>
      </c>
      <c r="F152" s="12" t="s">
        <v>466</v>
      </c>
      <c r="G152" s="5">
        <f t="shared" si="2"/>
        <v>8.6206896551724144E-2</v>
      </c>
      <c r="H152" s="10" t="s">
        <v>77</v>
      </c>
    </row>
    <row r="153" spans="1:8" x14ac:dyDescent="0.25">
      <c r="A153">
        <v>152</v>
      </c>
      <c r="B153" s="10" t="s">
        <v>467</v>
      </c>
      <c r="C153" s="10" t="s">
        <v>468</v>
      </c>
      <c r="D153" s="11">
        <v>37</v>
      </c>
      <c r="E153" s="11">
        <v>38</v>
      </c>
      <c r="F153" s="12" t="s">
        <v>469</v>
      </c>
      <c r="G153" s="5">
        <f t="shared" si="2"/>
        <v>2.7027027027027029E-2</v>
      </c>
      <c r="H153" s="10" t="s">
        <v>69</v>
      </c>
    </row>
    <row r="154" spans="1:8" x14ac:dyDescent="0.25">
      <c r="A154">
        <v>153</v>
      </c>
      <c r="B154" s="10" t="s">
        <v>470</v>
      </c>
      <c r="C154" s="10" t="s">
        <v>471</v>
      </c>
      <c r="D154" s="11">
        <v>27.17</v>
      </c>
      <c r="E154" s="11">
        <v>28.17</v>
      </c>
      <c r="F154" s="12" t="s">
        <v>472</v>
      </c>
      <c r="G154" s="5">
        <f t="shared" si="2"/>
        <v>3.6805299963194697E-2</v>
      </c>
      <c r="H154" s="10" t="s">
        <v>75</v>
      </c>
    </row>
    <row r="155" spans="1:8" x14ac:dyDescent="0.25">
      <c r="A155">
        <v>154</v>
      </c>
      <c r="B155" s="10" t="s">
        <v>171</v>
      </c>
      <c r="C155" s="10" t="s">
        <v>473</v>
      </c>
      <c r="D155" s="11">
        <v>45</v>
      </c>
      <c r="E155" s="11">
        <v>45.5</v>
      </c>
      <c r="F155" s="12" t="s">
        <v>474</v>
      </c>
      <c r="G155" s="5">
        <f t="shared" si="2"/>
        <v>1.1111111111111112E-2</v>
      </c>
      <c r="H155" s="10" t="s">
        <v>76</v>
      </c>
    </row>
    <row r="156" spans="1:8" x14ac:dyDescent="0.25">
      <c r="A156">
        <v>155</v>
      </c>
      <c r="B156" s="10" t="s">
        <v>475</v>
      </c>
      <c r="C156" s="10" t="s">
        <v>476</v>
      </c>
      <c r="D156" s="11">
        <v>28.09</v>
      </c>
      <c r="E156" s="11">
        <v>29.12</v>
      </c>
      <c r="F156" s="12" t="s">
        <v>477</v>
      </c>
      <c r="G156" s="5">
        <f t="shared" si="2"/>
        <v>3.6667853328586728E-2</v>
      </c>
      <c r="H156" s="10" t="s">
        <v>72</v>
      </c>
    </row>
    <row r="157" spans="1:8" x14ac:dyDescent="0.25">
      <c r="A157">
        <v>156</v>
      </c>
      <c r="B157" s="10" t="s">
        <v>478</v>
      </c>
      <c r="C157" s="10" t="s">
        <v>479</v>
      </c>
      <c r="D157" s="11">
        <v>27.16</v>
      </c>
      <c r="E157" s="11">
        <v>28.17</v>
      </c>
      <c r="F157" s="12" t="s">
        <v>480</v>
      </c>
      <c r="G157" s="5">
        <f t="shared" si="2"/>
        <v>3.7187039764359407E-2</v>
      </c>
      <c r="H157" s="10" t="s">
        <v>75</v>
      </c>
    </row>
    <row r="158" spans="1:8" x14ac:dyDescent="0.25">
      <c r="A158">
        <v>157</v>
      </c>
      <c r="B158" s="10" t="s">
        <v>362</v>
      </c>
      <c r="C158" s="10" t="s">
        <v>481</v>
      </c>
      <c r="D158" s="11">
        <v>29.6</v>
      </c>
      <c r="E158" s="11">
        <v>30.69</v>
      </c>
      <c r="F158" s="12" t="s">
        <v>482</v>
      </c>
      <c r="G158" s="5">
        <f t="shared" si="2"/>
        <v>3.6824324324324316E-2</v>
      </c>
      <c r="H158" s="10" t="s">
        <v>71</v>
      </c>
    </row>
    <row r="159" spans="1:8" x14ac:dyDescent="0.25">
      <c r="A159">
        <v>158</v>
      </c>
      <c r="B159" s="10" t="s">
        <v>483</v>
      </c>
      <c r="C159" s="10" t="s">
        <v>484</v>
      </c>
      <c r="D159" s="11">
        <v>28.09</v>
      </c>
      <c r="E159" s="11">
        <v>29.12</v>
      </c>
      <c r="F159" s="12" t="s">
        <v>485</v>
      </c>
      <c r="G159" s="5">
        <f t="shared" si="2"/>
        <v>3.6667853328586728E-2</v>
      </c>
      <c r="H159" s="10" t="s">
        <v>72</v>
      </c>
    </row>
    <row r="160" spans="1:8" x14ac:dyDescent="0.25">
      <c r="A160">
        <v>159</v>
      </c>
      <c r="B160" s="10" t="s">
        <v>486</v>
      </c>
      <c r="C160" s="10" t="s">
        <v>487</v>
      </c>
      <c r="D160" s="11">
        <v>56.35</v>
      </c>
      <c r="E160" s="11">
        <v>58</v>
      </c>
      <c r="F160" s="12" t="s">
        <v>488</v>
      </c>
      <c r="G160" s="5">
        <f t="shared" si="2"/>
        <v>2.9281277728482671E-2</v>
      </c>
      <c r="H160" s="10" t="s">
        <v>78</v>
      </c>
    </row>
    <row r="161" spans="1:8" x14ac:dyDescent="0.25">
      <c r="A161">
        <v>160</v>
      </c>
      <c r="B161" s="10" t="s">
        <v>247</v>
      </c>
      <c r="C161" s="10" t="s">
        <v>489</v>
      </c>
      <c r="D161" s="11">
        <v>27.209199999999999</v>
      </c>
      <c r="E161" s="11">
        <v>28.17</v>
      </c>
      <c r="F161" s="12" t="s">
        <v>490</v>
      </c>
      <c r="G161" s="5">
        <f t="shared" si="2"/>
        <v>3.5311585787160323E-2</v>
      </c>
      <c r="H161" s="10" t="s">
        <v>75</v>
      </c>
    </row>
    <row r="162" spans="1:8" x14ac:dyDescent="0.25">
      <c r="A162">
        <v>161</v>
      </c>
      <c r="B162" s="10" t="s">
        <v>491</v>
      </c>
      <c r="C162" s="10" t="s">
        <v>492</v>
      </c>
      <c r="D162" s="11">
        <v>27.17</v>
      </c>
      <c r="E162" s="11">
        <v>28.17</v>
      </c>
      <c r="F162" s="12" t="s">
        <v>493</v>
      </c>
      <c r="G162" s="5">
        <f t="shared" si="2"/>
        <v>3.6805299963194697E-2</v>
      </c>
      <c r="H162" s="10" t="s">
        <v>75</v>
      </c>
    </row>
    <row r="163" spans="1:8" x14ac:dyDescent="0.25">
      <c r="A163">
        <v>162</v>
      </c>
      <c r="B163" s="10" t="s">
        <v>352</v>
      </c>
      <c r="C163" s="10" t="s">
        <v>494</v>
      </c>
      <c r="D163" s="11">
        <v>27.17</v>
      </c>
      <c r="E163" s="11">
        <v>28.17</v>
      </c>
      <c r="F163" s="12" t="s">
        <v>495</v>
      </c>
      <c r="G163" s="5">
        <f t="shared" si="2"/>
        <v>3.6805299963194697E-2</v>
      </c>
      <c r="H163" s="10" t="s">
        <v>75</v>
      </c>
    </row>
    <row r="164" spans="1:8" x14ac:dyDescent="0.25">
      <c r="A164">
        <v>163</v>
      </c>
      <c r="B164" s="10" t="s">
        <v>496</v>
      </c>
      <c r="C164" s="10" t="s">
        <v>497</v>
      </c>
      <c r="D164" s="11">
        <v>27.87</v>
      </c>
      <c r="E164" s="11">
        <v>28.17</v>
      </c>
      <c r="F164" s="12" t="s">
        <v>498</v>
      </c>
      <c r="G164" s="5">
        <f t="shared" si="2"/>
        <v>1.0764262648008636E-2</v>
      </c>
      <c r="H164" s="10" t="s">
        <v>75</v>
      </c>
    </row>
    <row r="165" spans="1:8" x14ac:dyDescent="0.25">
      <c r="A165">
        <v>164</v>
      </c>
      <c r="B165" s="10" t="s">
        <v>179</v>
      </c>
      <c r="C165" s="10" t="s">
        <v>499</v>
      </c>
      <c r="D165" s="11">
        <v>27.17</v>
      </c>
      <c r="E165" s="11">
        <v>28.17</v>
      </c>
      <c r="F165" s="12" t="s">
        <v>500</v>
      </c>
      <c r="G165" s="5">
        <f t="shared" si="2"/>
        <v>3.6805299963194697E-2</v>
      </c>
      <c r="H165" s="10" t="s">
        <v>75</v>
      </c>
    </row>
    <row r="166" spans="1:8" x14ac:dyDescent="0.25">
      <c r="A166">
        <v>165</v>
      </c>
      <c r="B166" s="10" t="s">
        <v>501</v>
      </c>
      <c r="C166" s="10" t="s">
        <v>502</v>
      </c>
      <c r="D166" s="11">
        <v>27.16</v>
      </c>
      <c r="E166" s="11">
        <v>28.17</v>
      </c>
      <c r="F166" s="12" t="s">
        <v>503</v>
      </c>
      <c r="G166" s="5">
        <f t="shared" si="2"/>
        <v>3.7187039764359407E-2</v>
      </c>
      <c r="H166" s="10" t="s">
        <v>75</v>
      </c>
    </row>
    <row r="167" spans="1:8" x14ac:dyDescent="0.25">
      <c r="A167">
        <v>166</v>
      </c>
      <c r="B167" s="10" t="s">
        <v>504</v>
      </c>
      <c r="C167" s="10" t="s">
        <v>505</v>
      </c>
      <c r="D167" s="11">
        <v>28.09</v>
      </c>
      <c r="E167" s="11">
        <v>29.12</v>
      </c>
      <c r="F167" s="12" t="s">
        <v>506</v>
      </c>
      <c r="G167" s="5">
        <f t="shared" si="2"/>
        <v>3.6667853328586728E-2</v>
      </c>
      <c r="H167" s="10" t="s">
        <v>72</v>
      </c>
    </row>
    <row r="168" spans="1:8" x14ac:dyDescent="0.25">
      <c r="A168">
        <v>167</v>
      </c>
      <c r="B168" s="10" t="s">
        <v>507</v>
      </c>
      <c r="C168" s="10" t="s">
        <v>508</v>
      </c>
      <c r="D168" s="11">
        <v>27.16</v>
      </c>
      <c r="E168" s="11">
        <v>28.17</v>
      </c>
      <c r="F168" s="12" t="s">
        <v>509</v>
      </c>
      <c r="G168" s="5">
        <f t="shared" si="2"/>
        <v>3.7187039764359407E-2</v>
      </c>
      <c r="H168" s="10" t="s">
        <v>75</v>
      </c>
    </row>
    <row r="169" spans="1:8" x14ac:dyDescent="0.25">
      <c r="A169">
        <v>168</v>
      </c>
      <c r="B169" s="10" t="s">
        <v>154</v>
      </c>
      <c r="C169" s="10" t="s">
        <v>510</v>
      </c>
      <c r="D169" s="11">
        <v>27.18</v>
      </c>
      <c r="E169" s="11">
        <v>28.17</v>
      </c>
      <c r="F169" s="12" t="s">
        <v>511</v>
      </c>
      <c r="G169" s="5">
        <f t="shared" si="2"/>
        <v>3.6423841059602724E-2</v>
      </c>
      <c r="H169" s="10" t="s">
        <v>75</v>
      </c>
    </row>
    <row r="170" spans="1:8" x14ac:dyDescent="0.25">
      <c r="A170">
        <v>169</v>
      </c>
      <c r="B170" s="14" t="s">
        <v>512</v>
      </c>
      <c r="C170" s="14" t="s">
        <v>288</v>
      </c>
      <c r="D170" s="15">
        <v>28.09</v>
      </c>
      <c r="E170" s="15">
        <v>29.12</v>
      </c>
      <c r="F170" s="16" t="s">
        <v>513</v>
      </c>
      <c r="G170" s="5">
        <f>(E170-D170)/D170</f>
        <v>3.6667853328586728E-2</v>
      </c>
      <c r="H170" s="14" t="s">
        <v>72</v>
      </c>
    </row>
    <row r="171" spans="1:8" x14ac:dyDescent="0.25">
      <c r="A171">
        <v>170</v>
      </c>
      <c r="B171" s="17" t="s">
        <v>514</v>
      </c>
      <c r="C171" s="17" t="s">
        <v>515</v>
      </c>
      <c r="D171" s="18">
        <v>28.09</v>
      </c>
      <c r="E171" s="19">
        <v>29.12</v>
      </c>
      <c r="F171" s="20" t="s">
        <v>516</v>
      </c>
      <c r="G171" s="5">
        <f>(E171-D171)/D171</f>
        <v>3.6667853328586728E-2</v>
      </c>
      <c r="H171" s="10" t="s">
        <v>72</v>
      </c>
    </row>
  </sheetData>
  <phoneticPr fontId="4" type="noConversion"/>
  <hyperlinks>
    <hyperlink ref="N5" r:id="rId1" xr:uid="{18E19FCD-4118-4441-B164-0EA13A30AAC7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CreatePDF">
                <anchor moveWithCells="1" sizeWithCells="1">
                  <from>
                    <xdr:col>8</xdr:col>
                    <xdr:colOff>542925</xdr:colOff>
                    <xdr:row>2</xdr:row>
                    <xdr:rowOff>9525</xdr:rowOff>
                  </from>
                  <to>
                    <xdr:col>11</xdr:col>
                    <xdr:colOff>28575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20DDF-4C2B-4492-8253-49CD4C39B2E6}">
  <sheetPr codeName="Sheet3"/>
  <dimension ref="A1:B3"/>
  <sheetViews>
    <sheetView workbookViewId="0">
      <selection activeCell="B3" sqref="B3"/>
    </sheetView>
  </sheetViews>
  <sheetFormatPr defaultRowHeight="15" x14ac:dyDescent="0.25"/>
  <sheetData>
    <row r="1" spans="1:2" x14ac:dyDescent="0.25">
      <c r="A1" t="s">
        <v>5</v>
      </c>
      <c r="B1" t="s">
        <v>7</v>
      </c>
    </row>
    <row r="3" spans="1:2" x14ac:dyDescent="0.25">
      <c r="A3" t="s">
        <v>6</v>
      </c>
      <c r="B3" t="s">
        <v>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5C30C83F1128428BD007909D19D4B6" ma:contentTypeVersion="19" ma:contentTypeDescription="Create a new document." ma:contentTypeScope="" ma:versionID="81f1187b8793cfd1b546e137a69a817d">
  <xsd:schema xmlns:xsd="http://www.w3.org/2001/XMLSchema" xmlns:xs="http://www.w3.org/2001/XMLSchema" xmlns:p="http://schemas.microsoft.com/office/2006/metadata/properties" xmlns:ns2="c1d88682-5bb4-4b77-8381-a0bff46ba180" xmlns:ns3="a78743d5-adab-4900-84aa-f3107a003ac7" targetNamespace="http://schemas.microsoft.com/office/2006/metadata/properties" ma:root="true" ma:fieldsID="f235af083abab58e3eed4cc752449629" ns2:_="" ns3:_="">
    <xsd:import namespace="c1d88682-5bb4-4b77-8381-a0bff46ba180"/>
    <xsd:import namespace="a78743d5-adab-4900-84aa-f3107a003ac7"/>
    <xsd:element name="properties">
      <xsd:complexType>
        <xsd:sequence>
          <xsd:element name="documentManagement">
            <xsd:complexType>
              <xsd:all>
                <xsd:element ref="ns2:SharedWithDetail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d88682-5bb4-4b77-8381-a0bff46ba180" elementFormDefault="qualified">
    <xsd:import namespace="http://schemas.microsoft.com/office/2006/documentManagement/types"/>
    <xsd:import namespace="http://schemas.microsoft.com/office/infopath/2007/PartnerControls"/>
    <xsd:element name="SharedWithDetails" ma:index="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1" nillable="true" ma:displayName="Taxonomy Catch All Column" ma:hidden="true" ma:list="{d9473355-2eb0-46f8-83d7-a4ff11c378a8}" ma:internalName="TaxCatchAll" ma:showField="CatchAllData" ma:web="c1d88682-5bb4-4b77-8381-a0bff46ba18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8743d5-adab-4900-84aa-f3107a003ac7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0" nillable="true" ma:taxonomy="true" ma:internalName="lcf76f155ced4ddcb4097134ff3c332f" ma:taxonomyFieldName="MediaServiceImageTags" ma:displayName="Image Tags" ma:readOnly="false" ma:fieldId="{5cf76f15-5ced-4ddc-b409-7134ff3c332f}" ma:taxonomyMulti="true" ma:sspId="4697bbf6-6419-4155-a298-65ef6421e5e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1d88682-5bb4-4b77-8381-a0bff46ba180" xsi:nil="true"/>
    <lcf76f155ced4ddcb4097134ff3c332f xmlns="a78743d5-adab-4900-84aa-f3107a003ac7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D6BE188-E22A-4E63-9BBE-37D76971573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C94CCF5-E2C8-4685-A5DA-57476BCE6716}"/>
</file>

<file path=customXml/itemProps3.xml><?xml version="1.0" encoding="utf-8"?>
<ds:datastoreItem xmlns:ds="http://schemas.openxmlformats.org/officeDocument/2006/customXml" ds:itemID="{6115106A-B38E-4A24-BB07-B817F0BF75A0}">
  <ds:schemaRefs>
    <ds:schemaRef ds:uri="http://schemas.microsoft.com/office/2006/metadata/properties"/>
    <ds:schemaRef ds:uri="http://schemas.microsoft.com/office/infopath/2007/PartnerControls"/>
    <ds:schemaRef ds:uri="c1d88682-5bb4-4b77-8381-a0bff46ba180"/>
    <ds:schemaRef ds:uri="a78743d5-adab-4900-84aa-f3107a003ac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Letter</vt:lpstr>
      <vt:lpstr>Data</vt:lpstr>
      <vt:lpstr>Other</vt:lpstr>
      <vt:lpstr>Letter!Print_Area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Tom Young</dc:creator>
  <cp:lastModifiedBy>Tom Young</cp:lastModifiedBy>
  <cp:lastPrinted>2025-07-11T00:54:08Z</cp:lastPrinted>
  <dcterms:created xsi:type="dcterms:W3CDTF">2022-06-27T04:04:43Z</dcterms:created>
  <dcterms:modified xsi:type="dcterms:W3CDTF">2026-05-26T03:28:41Z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0x0101003A5C30C83F1128428BD007909D19D4B6</vt:lpwstr>
  </property>
  <property fmtid="{D5CDD505-2E9C-101B-9397-08002B2CF9AE}" pid="3" name="Order">
    <vt:r8>99600</vt:r8>
  </property>
  <property fmtid="{D5CDD505-2E9C-101B-9397-08002B2CF9AE}" pid="4" name="GUID">
    <vt:lpwstr>9f5ac10c-80de-424c-a871-b8dad0e04a95</vt:lpwstr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TemplateUrl">
    <vt:lpwstr/>
  </property>
  <property fmtid="{D5CDD505-2E9C-101B-9397-08002B2CF9AE}" pid="10" name="ComplianceAssetId">
    <vt:lpwstr/>
  </property>
  <property fmtid="{D5CDD505-2E9C-101B-9397-08002B2CF9AE}" pid="11" name="MediaServiceImageTags">
    <vt:lpwstr/>
  </property>
</Properties>
</file>