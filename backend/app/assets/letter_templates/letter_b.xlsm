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https://bundyrad.sharepoint.com/sites/Carlisle/Finance/C Health Finance/Payroll/6. Annual Pay Award/1 July 25/"/>
    </mc:Choice>
  </mc:AlternateContent>
  <xr:revisionPtr revIDLastSave="261" documentId="13_ncr:1_{EEE0091D-ECE6-4C18-AF3F-ECFB6C4D086A}" xr6:coauthVersionLast="47" xr6:coauthVersionMax="47" xr10:uidLastSave="{9ED6636B-4524-4E0C-85AA-734007A58950}"/>
  <bookViews>
    <workbookView xWindow="12504" yWindow="14292" windowWidth="23256" windowHeight="13896" xr2:uid="{0C89EE2A-B528-43E5-9C8A-6E255E5648F6}"/>
  </bookViews>
  <sheets>
    <sheet name="Letter" sheetId="2" r:id="rId1"/>
    <sheet name="Data" sheetId="1" r:id="rId2"/>
    <sheet name="Other" sheetId="3" r:id="rId3"/>
  </sheets>
  <definedNames>
    <definedName name="ELIST">Data!$A$2:INDEX(Data!$A:$A,COUNTA(Data!$A:$A) )</definedName>
    <definedName name="EM">Data!$F$2:INDEX(Data!$F:$F,COUNTA(Data!$F:$F) )</definedName>
    <definedName name="_xlnm.Print_Area" localSheetId="0">Letter!$A$1:$A$34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6" i="1" l="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G2" i="1"/>
  <c r="A8" i="2" l="1"/>
  <c r="K4" i="2"/>
  <c r="A20" i="2" s="1"/>
  <c r="K1" i="2" l="1"/>
  <c r="K3" i="2"/>
  <c r="K2" i="2"/>
  <c r="A18" i="2" l="1"/>
  <c r="A12" i="2"/>
</calcChain>
</file>

<file path=xl/sharedStrings.xml><?xml version="1.0" encoding="utf-8"?>
<sst xmlns="http://schemas.openxmlformats.org/spreadsheetml/2006/main" count="366" uniqueCount="288">
  <si>
    <t>Via Email Correspondence</t>
  </si>
  <si>
    <t>All other terms and conditions governing your employment continue to apply as per your current employment contract.</t>
  </si>
  <si>
    <t>On behalf of the Carlisle Health Management Team and Board, we would like to thank you for your ongoing contribution.
Yours Sincerely</t>
  </si>
  <si>
    <t>Shayne Troter</t>
  </si>
  <si>
    <t>General Manager, Operations</t>
  </si>
  <si>
    <t>Carlisle Health</t>
  </si>
  <si>
    <t>#</t>
  </si>
  <si>
    <t>First Name</t>
  </si>
  <si>
    <t>Surname</t>
  </si>
  <si>
    <t>Old Pay-Rate</t>
  </si>
  <si>
    <t>New Pay-Rate</t>
  </si>
  <si>
    <t>Email</t>
  </si>
  <si>
    <t>% Increase</t>
  </si>
  <si>
    <t>Award Level</t>
  </si>
  <si>
    <t>Path:</t>
  </si>
  <si>
    <t>Subject:</t>
  </si>
  <si>
    <t>Increase in your Remuneration</t>
  </si>
  <si>
    <t>Contents:</t>
  </si>
  <si>
    <t>Please find attached correspondence regarding an increase in your remuneration</t>
  </si>
  <si>
    <t>Thi</t>
  </si>
  <si>
    <t>Ryan</t>
  </si>
  <si>
    <t>Kelly</t>
  </si>
  <si>
    <t>Anna</t>
  </si>
  <si>
    <t>Ka</t>
  </si>
  <si>
    <t>Mo</t>
  </si>
  <si>
    <t>HPSS HP L2 PP4</t>
  </si>
  <si>
    <t>HPSS HP L3 PP5</t>
  </si>
  <si>
    <t>HPSS SS L6</t>
  </si>
  <si>
    <t>kristymo15@yahoo.com.hk</t>
  </si>
  <si>
    <t>Re: Increase in your Remuneration &amp; Change to your Award Level</t>
  </si>
  <si>
    <t>In recognition of changes in Award rates and as per Carlisle Pay &amp; Progression model for 2025-2026 and your continued commitment to the Carlisle Health Group, this letter is to confirm the business will be increasing your remuneration.</t>
  </si>
  <si>
    <r>
      <rPr>
        <sz val="11"/>
        <color rgb="FF000000"/>
        <rFont val="Calibri"/>
        <family val="2"/>
      </rPr>
      <t>With this, we are asking for any feedback on the proposed Award level update to be sent to Carlisle HR at peopleandculture@carlislehealth.com.au by COB 28</t>
    </r>
    <r>
      <rPr>
        <sz val="11"/>
        <rFont val="Calibri"/>
        <family val="2"/>
      </rPr>
      <t xml:space="preserve"> July 2025</t>
    </r>
    <r>
      <rPr>
        <sz val="11"/>
        <color rgb="FF000000"/>
        <rFont val="Calibri"/>
        <family val="2"/>
      </rPr>
      <t xml:space="preserve"> . If you do not have any feedback, your Award level will be updated.</t>
    </r>
  </si>
  <si>
    <t>The rate of superannuation will also increase in line with national requirements from 11.5% for the 2024-25 financial year to 12.0% for the 2025-26 financial year. This applies to all employees.</t>
  </si>
  <si>
    <t>Email From:</t>
  </si>
  <si>
    <t>peopleandculture@carlislehealth.com.au</t>
  </si>
  <si>
    <t>HPSS HP L1 PP5</t>
  </si>
  <si>
    <t>Melanie</t>
  </si>
  <si>
    <t>Blake</t>
  </si>
  <si>
    <t>alnmelblake@bigpond.com</t>
  </si>
  <si>
    <t>Ashlee</t>
  </si>
  <si>
    <t>Wyvill</t>
  </si>
  <si>
    <t>ashlee.renee1@hotmail.com</t>
  </si>
  <si>
    <t>HPSS HP L2 PP3</t>
  </si>
  <si>
    <t>Monique</t>
  </si>
  <si>
    <t>Matheson</t>
  </si>
  <si>
    <t>mmatheson.98@hotmail.com</t>
  </si>
  <si>
    <t>Dennis</t>
  </si>
  <si>
    <t>McDonald</t>
  </si>
  <si>
    <t>dpmmcdonald97@bigpond.com</t>
  </si>
  <si>
    <t>Madhavi</t>
  </si>
  <si>
    <t>Ramachandra</t>
  </si>
  <si>
    <t>madhavi4@yahoo.com</t>
  </si>
  <si>
    <t>Jamie</t>
  </si>
  <si>
    <t>Saunders</t>
  </si>
  <si>
    <t>jamie_brianna@hotmail.com</t>
  </si>
  <si>
    <t>Nicole</t>
  </si>
  <si>
    <t>Winning</t>
  </si>
  <si>
    <t>nicolewinning1@gmail.com</t>
  </si>
  <si>
    <t>HPSS HP L2 PP2</t>
  </si>
  <si>
    <t>Susann</t>
  </si>
  <si>
    <t>Harwood</t>
  </si>
  <si>
    <t>dnsharwood@bigpond.com</t>
  </si>
  <si>
    <t>Erin</t>
  </si>
  <si>
    <t>Johnson</t>
  </si>
  <si>
    <t>em7johnson@hotmail.com</t>
  </si>
  <si>
    <t>HPSS HP L4 PP2</t>
  </si>
  <si>
    <t>Lucy-Jane</t>
  </si>
  <si>
    <t>Pearce</t>
  </si>
  <si>
    <t>lucy-jane.hunt@hotmail.com</t>
  </si>
  <si>
    <t>Angel</t>
  </si>
  <si>
    <t>Mankoo</t>
  </si>
  <si>
    <t>angelmankoo@gmail.com</t>
  </si>
  <si>
    <t>Katie</t>
  </si>
  <si>
    <t>Vay</t>
  </si>
  <si>
    <t>katievay10@gmail.com</t>
  </si>
  <si>
    <t>HPSS SS L5</t>
  </si>
  <si>
    <t>Chloe</t>
  </si>
  <si>
    <t>Salloum</t>
  </si>
  <si>
    <t>chloejosalloum@gmail.com</t>
  </si>
  <si>
    <t>Poleen</t>
  </si>
  <si>
    <t>Sada</t>
  </si>
  <si>
    <t>poleensada@gmail.com</t>
  </si>
  <si>
    <t>Sandy</t>
  </si>
  <si>
    <t>Essa</t>
  </si>
  <si>
    <t>sandy.essa1986@gmail.com</t>
  </si>
  <si>
    <t>Kathie</t>
  </si>
  <si>
    <t>Jaeger</t>
  </si>
  <si>
    <t>kathiejaeger72@gmail.com</t>
  </si>
  <si>
    <t>Yang</t>
  </si>
  <si>
    <t>anna_yang87@hotmail.com</t>
  </si>
  <si>
    <t>Kerryn</t>
  </si>
  <si>
    <t>Mildon</t>
  </si>
  <si>
    <t>kmildon74@gmail.com</t>
  </si>
  <si>
    <t>Nola</t>
  </si>
  <si>
    <t>Gillam</t>
  </si>
  <si>
    <t>nolagillam918@gmail.com</t>
  </si>
  <si>
    <t>Nutley</t>
  </si>
  <si>
    <t>annanutley20@hotmail.com</t>
  </si>
  <si>
    <t>Ronal</t>
  </si>
  <si>
    <t>Lal</t>
  </si>
  <si>
    <t>ronallalfj@yahoo.com.au</t>
  </si>
  <si>
    <t>Lauren</t>
  </si>
  <si>
    <t>McKinnon</t>
  </si>
  <si>
    <t>lauren_mckinnon@outlook.com</t>
  </si>
  <si>
    <t>Tapiwa</t>
  </si>
  <si>
    <t>Chitekwe</t>
  </si>
  <si>
    <t>tapiwachitekwe97@gmail.com</t>
  </si>
  <si>
    <t>Codie</t>
  </si>
  <si>
    <t>Thomas</t>
  </si>
  <si>
    <t>codie.j.thomas@hotmail.com</t>
  </si>
  <si>
    <t>Olivia</t>
  </si>
  <si>
    <t>Bronowicki</t>
  </si>
  <si>
    <t>liv.bronowicki@gmail.com</t>
  </si>
  <si>
    <t>Sarah</t>
  </si>
  <si>
    <t>sarahkelly713@gmail.com</t>
  </si>
  <si>
    <t>Madeleine</t>
  </si>
  <si>
    <t>Hoath</t>
  </si>
  <si>
    <t>hoath.maddie@gmail.com</t>
  </si>
  <si>
    <t>Laura</t>
  </si>
  <si>
    <t>Thelander</t>
  </si>
  <si>
    <t>laura19801@live.com.au</t>
  </si>
  <si>
    <t>Alicha</t>
  </si>
  <si>
    <t>Aston</t>
  </si>
  <si>
    <t>alichaaston@outlook.com</t>
  </si>
  <si>
    <t>Carrie</t>
  </si>
  <si>
    <t>Chan</t>
  </si>
  <si>
    <t>cmtchan@gmail.com</t>
  </si>
  <si>
    <t>Brianna</t>
  </si>
  <si>
    <t>brianna.niamh1999@gmail.com</t>
  </si>
  <si>
    <t>Justin</t>
  </si>
  <si>
    <t>Kierdal</t>
  </si>
  <si>
    <t>justin.kierdal@gmail.com</t>
  </si>
  <si>
    <t>Callum</t>
  </si>
  <si>
    <t>Nolan</t>
  </si>
  <si>
    <t>callumnolan91@outlook.com</t>
  </si>
  <si>
    <t>HPSS HP L4 PP1</t>
  </si>
  <si>
    <t>Alana</t>
  </si>
  <si>
    <t>Ridley</t>
  </si>
  <si>
    <t>alanaridley123@gmail.com</t>
  </si>
  <si>
    <t>Belinda</t>
  </si>
  <si>
    <t>belseaman@gmail.com</t>
  </si>
  <si>
    <t>Melissa</t>
  </si>
  <si>
    <t>Cartledge</t>
  </si>
  <si>
    <t>lissylou83@hotmail.com</t>
  </si>
  <si>
    <t>HPSS SS L9 PP1</t>
  </si>
  <si>
    <t>Sonia</t>
  </si>
  <si>
    <t>Aghazarian</t>
  </si>
  <si>
    <t>soniaghazarian96@outlook.com</t>
  </si>
  <si>
    <t>Samara</t>
  </si>
  <si>
    <t>Clarke</t>
  </si>
  <si>
    <t>samaraclarke98@gmail.com</t>
  </si>
  <si>
    <t>Ying</t>
  </si>
  <si>
    <t>Luo</t>
  </si>
  <si>
    <t>kerry.luo01@gmail.com</t>
  </si>
  <si>
    <t>Huynh</t>
  </si>
  <si>
    <t>huynhtam86@yahoo.com</t>
  </si>
  <si>
    <t>Dhineesha</t>
  </si>
  <si>
    <t>Vytla</t>
  </si>
  <si>
    <t>dhineesha@yahoo.com</t>
  </si>
  <si>
    <t>HPSS HP L2 PP1</t>
  </si>
  <si>
    <t>Stieler</t>
  </si>
  <si>
    <t>ryan.stieler@bigpond.com</t>
  </si>
  <si>
    <t>Nadia</t>
  </si>
  <si>
    <t>Pearson</t>
  </si>
  <si>
    <t>nadia.pearson21@gmail.com</t>
  </si>
  <si>
    <t>Amber</t>
  </si>
  <si>
    <t>Hendricks</t>
  </si>
  <si>
    <t>amber.hendriks@gmail.com</t>
  </si>
  <si>
    <t>Deanne</t>
  </si>
  <si>
    <t>Hudson</t>
  </si>
  <si>
    <t>deannehudson78@gmail.com</t>
  </si>
  <si>
    <t>HPSS SS L7</t>
  </si>
  <si>
    <t>Jessica</t>
  </si>
  <si>
    <t>Hills</t>
  </si>
  <si>
    <t>jessie.anne.hills@outlook.com</t>
  </si>
  <si>
    <t>HPSS HP L1 PP4</t>
  </si>
  <si>
    <t>Brittany</t>
  </si>
  <si>
    <t>Evans</t>
  </si>
  <si>
    <t>brittany.erin.evans@gmail.com</t>
  </si>
  <si>
    <t>Tamara</t>
  </si>
  <si>
    <t>Jackson</t>
  </si>
  <si>
    <t>reganj07@yahoo.com.au</t>
  </si>
  <si>
    <t>Joellenne</t>
  </si>
  <si>
    <t>Forrest</t>
  </si>
  <si>
    <t>joellenne03@gmail.com</t>
  </si>
  <si>
    <t>Stacey</t>
  </si>
  <si>
    <t>Deaves</t>
  </si>
  <si>
    <t>stacey.deaves@hotmail.com</t>
  </si>
  <si>
    <t>Withoos</t>
  </si>
  <si>
    <t>laurenwwithoos@gmail.com</t>
  </si>
  <si>
    <t>Lucia</t>
  </si>
  <si>
    <t>Andersen</t>
  </si>
  <si>
    <t>lucyandersen23ts@gmail.com</t>
  </si>
  <si>
    <t>Lidiya</t>
  </si>
  <si>
    <t>Staub</t>
  </si>
  <si>
    <t>ant.lid@bigpond.com</t>
  </si>
  <si>
    <t>Samantha</t>
  </si>
  <si>
    <t>Webb</t>
  </si>
  <si>
    <t>samanthamstevenson53@gmail.com</t>
  </si>
  <si>
    <t>Burrin</t>
  </si>
  <si>
    <t>samantha.burrin.1997@gmail.com</t>
  </si>
  <si>
    <t>Hannah</t>
  </si>
  <si>
    <t>Sorensen</t>
  </si>
  <si>
    <t>hannahsorensen1@outlook.com</t>
  </si>
  <si>
    <t>Thi Hong Thuy</t>
  </si>
  <si>
    <t>Le</t>
  </si>
  <si>
    <t>thuyle2992@gmail.com</t>
  </si>
  <si>
    <t>Lily</t>
  </si>
  <si>
    <t>Moody</t>
  </si>
  <si>
    <t>lily.moodyyy@gmail.com</t>
  </si>
  <si>
    <t>Kadie</t>
  </si>
  <si>
    <t>Bauer</t>
  </si>
  <si>
    <t>kbaue25@gmail.com</t>
  </si>
  <si>
    <t>Spinks</t>
  </si>
  <si>
    <t>melissa.spinks@outlook.com</t>
  </si>
  <si>
    <t>Thoai</t>
  </si>
  <si>
    <t>Tang</t>
  </si>
  <si>
    <t>thoaitlam@me.com</t>
  </si>
  <si>
    <t>Kathryn</t>
  </si>
  <si>
    <t>White</t>
  </si>
  <si>
    <t>kathrynwhite26@yahoo.com.au</t>
  </si>
  <si>
    <t>Bennett</t>
  </si>
  <si>
    <t>jessicabennett85@yahoo.com</t>
  </si>
  <si>
    <t>Melinda</t>
  </si>
  <si>
    <t>Hawkes</t>
  </si>
  <si>
    <t>melindah1628@gmail.com</t>
  </si>
  <si>
    <t>HPSS HP L3 PP1</t>
  </si>
  <si>
    <t>William</t>
  </si>
  <si>
    <t>Bae</t>
  </si>
  <si>
    <t>william.bae2012@gmail.com</t>
  </si>
  <si>
    <t>HPSS HP L3 PP2</t>
  </si>
  <si>
    <t>McNae</t>
  </si>
  <si>
    <t>tom.mcnae@outlook.com.au</t>
  </si>
  <si>
    <t>Xueqi</t>
  </si>
  <si>
    <t>Liu</t>
  </si>
  <si>
    <t>lucyliu774@gmail.com</t>
  </si>
  <si>
    <t>Isabella</t>
  </si>
  <si>
    <t>Ney</t>
  </si>
  <si>
    <t>iney1@icloud.com</t>
  </si>
  <si>
    <t>Charlotte</t>
  </si>
  <si>
    <t>Udall</t>
  </si>
  <si>
    <t>charlotte.grace.udall@gmail.com</t>
  </si>
  <si>
    <t>Surbhi</t>
  </si>
  <si>
    <t>Pareek</t>
  </si>
  <si>
    <t>surbhi.pareek91@outlook.com</t>
  </si>
  <si>
    <t>HPSS HP L3 PP4</t>
  </si>
  <si>
    <t>Courtney</t>
  </si>
  <si>
    <t>Higginbottom</t>
  </si>
  <si>
    <t>higginbottomcourtney@gmail.com</t>
  </si>
  <si>
    <t>Kerrin</t>
  </si>
  <si>
    <t>Allen</t>
  </si>
  <si>
    <t>kjilallen@gmail.com</t>
  </si>
  <si>
    <t>Merryn</t>
  </si>
  <si>
    <t>Parker</t>
  </si>
  <si>
    <t>merrynjkelly@gmail.com</t>
  </si>
  <si>
    <t>Michael</t>
  </si>
  <si>
    <t>Starks</t>
  </si>
  <si>
    <t>michaels@shiremedicalimaging.com.au</t>
  </si>
  <si>
    <t>Tashimaimaiti</t>
  </si>
  <si>
    <t>Teliman</t>
  </si>
  <si>
    <t>telmantash@gmail.com</t>
  </si>
  <si>
    <t>Chaitanyapriya</t>
  </si>
  <si>
    <t>Induri</t>
  </si>
  <si>
    <t>chainduri@gmail.com</t>
  </si>
  <si>
    <t>Jaimee</t>
  </si>
  <si>
    <t>Harris</t>
  </si>
  <si>
    <t>jaimee_louise@hotmail.com.au</t>
  </si>
  <si>
    <t>Ha</t>
  </si>
  <si>
    <t>Shin</t>
  </si>
  <si>
    <t>hajeongshin@outlook.com</t>
  </si>
  <si>
    <t>HPSS HP L1 PP2</t>
  </si>
  <si>
    <t>Patricia</t>
  </si>
  <si>
    <t>Da Silva Francisco</t>
  </si>
  <si>
    <t>patriciafrancisco3b@gmail.com</t>
  </si>
  <si>
    <t>Hoang</t>
  </si>
  <si>
    <t>cindy130514@gmail.com</t>
  </si>
  <si>
    <t>Amira</t>
  </si>
  <si>
    <t>Zreika</t>
  </si>
  <si>
    <t>amirazreika@hotmail.com</t>
  </si>
  <si>
    <t>Qiao</t>
  </si>
  <si>
    <t>joyceeeeee126@gmail.com</t>
  </si>
  <si>
    <t>Zoe</t>
  </si>
  <si>
    <t>Lockyer</t>
  </si>
  <si>
    <t>zoelockyer2001@gmail.com</t>
  </si>
  <si>
    <t>Jasmin</t>
  </si>
  <si>
    <t>Gleeson</t>
  </si>
  <si>
    <t>jasmingleeson02@gmail.com</t>
  </si>
  <si>
    <t>C:\Users\TomYoung\Carlisle Health\Carlisle - Finance\C Health Finance\Payroll\6. Annual Pay Award\1 July 25\Letter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</si>
</sst>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quot;$&quot;* #,##0.00_-;_-&quot;$&quot;* &quot;-&quot;??_-;_-@_-"/>
    <numFmt numFmtId="43" formatCode="_-* #,##0.00_-;\-* #,##0.00_-;_-* &quot;-&quot;??_-;_-@_-"/>
    <numFmt numFmtId="164" formatCode="&quot;$&quot;#,##0.00"/>
    <numFmt numFmtId="165" formatCode="0.0%"/>
    <numFmt numFmtId="166" formatCode="_(* #,##0.00_);_(* \(#,##0.00\);_(* &quot;-&quot;??_);_(@_)"/>
    <numFmt numFmtId="167" formatCode="_(&quot;$&quot;* #,##0.00_);_(&quot;$&quot;* \(#,##0.00\);_(&quot;$&quot;* &quot;-&quot;??_);_(@_)"/>
  </numFmts>
  <fonts count="11" x14ac:knownFonts="1">
    <font>
      <sz val="11"/>
      <color theme="1"/>
      <name val="Calibri"/>
      <family val="2"/>
      <scheme val="minor"/>
    </font>
    <font>
      <b/>
      <sz val="11"/>
      <color theme="1"/>
      <name val="Calibri"/>
      <family val="2"/>
      <scheme val="minor"/>
    </font>
    <font>
      <b/>
      <sz val="10"/>
      <name val="Arial"/>
      <family val="2"/>
    </font>
    <font>
      <sz val="11"/>
      <color theme="1"/>
      <name val="Calibri"/>
      <family val="2"/>
      <scheme val="minor"/>
    </font>
    <font>
      <sz val="8"/>
      <name val="Calibri"/>
      <family val="2"/>
      <scheme val="minor"/>
    </font>
    <font>
      <sz val="11"/>
      <color rgb="FF000000"/>
      <name val="Calibri"/>
      <family val="2"/>
    </font>
    <font>
      <sz val="11"/>
      <color theme="1"/>
      <name val="Calibri"/>
      <family val="2"/>
    </font>
    <font>
      <sz val="11"/>
      <name val="Calibri"/>
      <family val="2"/>
    </font>
    <font>
      <u/>
      <sz val="11"/>
      <color theme="10"/>
      <name val="Calibri"/>
      <family val="2"/>
      <scheme val="minor"/>
    </font>
    <font>
      <sz val="10"/>
      <color theme="1"/>
      <name val="Arial"/>
      <family val="2"/>
    </font>
    <font>
      <sz val="10"/>
      <color rgb="FF000000"/>
      <name val="Arial"/>
      <family val="2"/>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6">
    <xf numFmtId="0" fontId="0" fillId="0" borderId="0"/>
    <xf numFmtId="9" fontId="3" fillId="0" borderId="0" applyFont="0" applyFill="0" applyBorder="0" applyAlignment="0" applyProtection="0"/>
    <xf numFmtId="0" fontId="6" fillId="0" borderId="0"/>
    <xf numFmtId="0" fontId="8" fillId="0" borderId="0" applyNumberFormat="0" applyFill="0" applyBorder="0" applyAlignment="0" applyProtection="0"/>
    <xf numFmtId="43" fontId="3" fillId="0" borderId="0" applyFont="0" applyFill="0" applyBorder="0" applyAlignment="0" applyProtection="0"/>
    <xf numFmtId="44" fontId="3" fillId="0" borderId="0" applyFont="0" applyFill="0" applyBorder="0" applyAlignment="0" applyProtection="0"/>
  </cellStyleXfs>
  <cellXfs count="15">
    <xf numFmtId="0" fontId="0" fillId="0" borderId="0" xfId="0"/>
    <xf numFmtId="0" fontId="2" fillId="0" borderId="0" xfId="0" applyFont="1"/>
    <xf numFmtId="0" fontId="1" fillId="0" borderId="0" xfId="0" applyFont="1"/>
    <xf numFmtId="0" fontId="0" fillId="0" borderId="0" xfId="0" applyAlignment="1">
      <alignment wrapText="1"/>
    </xf>
    <xf numFmtId="14" fontId="0" fillId="0" borderId="0" xfId="0" applyNumberFormat="1" applyAlignment="1">
      <alignment horizontal="left"/>
    </xf>
    <xf numFmtId="165" fontId="0" fillId="0" borderId="0" xfId="1" applyNumberFormat="1" applyFont="1"/>
    <xf numFmtId="164" fontId="0" fillId="0" borderId="0" xfId="0" applyNumberFormat="1"/>
    <xf numFmtId="164" fontId="2" fillId="0" borderId="0" xfId="0" applyNumberFormat="1" applyFont="1"/>
    <xf numFmtId="0" fontId="6" fillId="0" borderId="0" xfId="0" applyFont="1" applyAlignment="1">
      <alignment wrapText="1"/>
    </xf>
    <xf numFmtId="0" fontId="8" fillId="2" borderId="0" xfId="3" applyFill="1"/>
    <xf numFmtId="0" fontId="9" fillId="0" borderId="0" xfId="0" applyFont="1"/>
    <xf numFmtId="166" fontId="10" fillId="0" borderId="0" xfId="4" applyNumberFormat="1" applyFont="1" applyFill="1" applyBorder="1"/>
    <xf numFmtId="167" fontId="10" fillId="0" borderId="0" xfId="5" applyNumberFormat="1" applyFont="1" applyFill="1" applyBorder="1" applyAlignment="1">
      <alignment horizontal="right"/>
    </xf>
    <xf numFmtId="0" fontId="10" fillId="0" borderId="0" xfId="0" applyFont="1" applyAlignment="1">
      <alignment horizontal="center"/>
    </xf>
    <xf numFmtId="0" fontId="10" fillId="0" borderId="0" xfId="0" applyFont="1"/>
  </cellXfs>
  <cellStyles count="6">
    <cellStyle name="Comma" xfId="4" builtinId="3"/>
    <cellStyle name="Currency" xfId="5" builtinId="4"/>
    <cellStyle name="Hyperlink" xfId="3" builtinId="8"/>
    <cellStyle name="Normal" xfId="0" builtinId="0"/>
    <cellStyle name="Normal 3" xfId="2" xr:uid="{0A250916-9586-47EA-931A-156E6BA9BC69}"/>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28</xdr:row>
      <xdr:rowOff>66675</xdr:rowOff>
    </xdr:from>
    <xdr:to>
      <xdr:col>0</xdr:col>
      <xdr:colOff>1400763</xdr:colOff>
      <xdr:row>31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7048500"/>
          <a:ext cx="1351233" cy="504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3971926</xdr:colOff>
      <xdr:row>0</xdr:row>
      <xdr:rowOff>95250</xdr:rowOff>
    </xdr:from>
    <xdr:to>
      <xdr:col>0</xdr:col>
      <xdr:colOff>5913121</xdr:colOff>
      <xdr:row>3</xdr:row>
      <xdr:rowOff>41910</xdr:rowOff>
    </xdr:to>
    <xdr:pic>
      <xdr:nvPicPr>
        <xdr:cNvPr id="5" name="Picture 4">
          <a:extLst>
            <a:ext uri="{FF2B5EF4-FFF2-40B4-BE49-F238E27FC236}">
              <a16:creationId xmlns:a16="http://schemas.microsoft.com/office/drawing/2014/main" id="{11C967C0-E71F-FCB7-53FB-C0926AEF887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71926" y="95250"/>
          <a:ext cx="1943100" cy="5181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541020</xdr:colOff>
          <xdr:row>2</xdr:row>
          <xdr:rowOff>7620</xdr:rowOff>
        </xdr:from>
        <xdr:to>
          <xdr:col>11</xdr:col>
          <xdr:colOff>30480</xdr:colOff>
          <xdr:row>4</xdr:row>
          <xdr:rowOff>68580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ea typeface="Calibri"/>
                  <a:cs typeface="Calibri"/>
                </a:rPr>
                <a:t>Run Macro</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peopleandculture@carlislehealth.com.au"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44D37B-8B32-4151-94A9-AD7D9F83B3D5}">
  <sheetPr codeName="Sheet1"/>
  <dimension ref="A1:K34"/>
  <sheetViews>
    <sheetView tabSelected="1" zoomScaleNormal="100" workbookViewId="0">
      <selection activeCell="J1" sqref="J1"/>
    </sheetView>
  </sheetViews>
  <sheetFormatPr defaultRowHeight="14.4" x14ac:dyDescent="0.3"/>
  <cols>
    <col min="1" max="1" width="91.44140625" customWidth="1"/>
    <col min="11" max="11" width="12.44140625" bestFit="1" customWidth="1"/>
  </cols>
  <sheetData>
    <row r="1" spans="1:11" x14ac:dyDescent="0.3">
      <c r="J1">
        <v>85</v>
      </c>
      <c r="K1" t="str">
        <f>VLOOKUP(J1,Data!A:F,2,FALSE)&amp; " "&amp;VLOOKUP(J1,Data!A:F,3,FALSE)</f>
        <v>Jasmin Gleeson</v>
      </c>
    </row>
    <row r="2" spans="1:11" x14ac:dyDescent="0.3">
      <c r="K2">
        <f>VLOOKUP(J1,Data!A:F,4,FALSE)</f>
        <v>28.09</v>
      </c>
    </row>
    <row r="3" spans="1:11" x14ac:dyDescent="0.3">
      <c r="K3">
        <f>VLOOKUP(J1,Data!A:F,5,FALSE)</f>
        <v>29.12</v>
      </c>
    </row>
    <row r="4" spans="1:11" x14ac:dyDescent="0.3">
      <c r="K4" t="str">
        <f>VLOOKUP(J1,Data!A:H,8,FALSE)</f>
        <v>HPSS SS L5</v>
      </c>
    </row>
    <row r="8" spans="1:11" x14ac:dyDescent="0.3">
      <c r="A8" s="4">
        <f ca="1">TODAY()</f>
        <v>45849</v>
      </c>
    </row>
    <row r="10" spans="1:11" x14ac:dyDescent="0.3">
      <c r="A10" t="s">
        <v>0</v>
      </c>
    </row>
    <row r="12" spans="1:11" x14ac:dyDescent="0.3">
      <c r="A12" t="str">
        <f>"Dear "&amp;K1</f>
        <v>Dear Jasmin Gleeson</v>
      </c>
    </row>
    <row r="14" spans="1:11" x14ac:dyDescent="0.3">
      <c r="A14" t="s">
        <v>29</v>
      </c>
    </row>
    <row r="16" spans="1:11" ht="43.2" x14ac:dyDescent="0.3">
      <c r="A16" s="3" t="s">
        <v>30</v>
      </c>
    </row>
    <row r="18" spans="1:1" ht="43.2" x14ac:dyDescent="0.3">
      <c r="A18" s="3" t="str">
        <f>"Your Hourly Rate per your contract will be increased from "&amp;TEXT(K2,"$#,###.00")&amp;" per hour to "&amp;TEXT(K3,"$#,###.00")&amp;" per hour (exclusive of superannuation). This change will take be reflected in your pay for the fortnight ending 13 July 2025, i.e. the first full pay period of the new financial year."</f>
        <v>Your Hourly Rate per your contract will be increased from $28.09 per hour to $29.12 per hour (exclusive of superannuation). This change will take be reflected in your pay for the fortnight ending 13 July 2025, i.e. the first full pay period of the new financial year.</v>
      </c>
    </row>
    <row r="20" spans="1:1" ht="43.2" x14ac:dyDescent="0.3">
      <c r="A20" s="3" t="str">
        <f>"We have simultaneously undertaken a review of all Award levels across the business to ensure that the expectations of your role aligned to the most appropriate Award level. As a result of this process Carlisle proposes to align your Award level to: "&amp;TEXT(K4,"###")&amp;""</f>
        <v>We have simultaneously undertaken a review of all Award levels across the business to ensure that the expectations of your role aligned to the most appropriate Award level. As a result of this process Carlisle proposes to align your Award level to: HPSS SS L5</v>
      </c>
    </row>
    <row r="22" spans="1:1" ht="43.2" x14ac:dyDescent="0.3">
      <c r="A22" s="8" t="s">
        <v>31</v>
      </c>
    </row>
    <row r="24" spans="1:1" ht="28.8" x14ac:dyDescent="0.3">
      <c r="A24" s="3" t="s">
        <v>32</v>
      </c>
    </row>
    <row r="26" spans="1:1" ht="28.8" x14ac:dyDescent="0.3">
      <c r="A26" s="3" t="s">
        <v>1</v>
      </c>
    </row>
    <row r="28" spans="1:1" ht="57.6" x14ac:dyDescent="0.3">
      <c r="A28" s="3" t="s">
        <v>2</v>
      </c>
    </row>
    <row r="32" spans="1:1" x14ac:dyDescent="0.3">
      <c r="A32" t="s">
        <v>3</v>
      </c>
    </row>
    <row r="33" spans="1:1" x14ac:dyDescent="0.3">
      <c r="A33" t="s">
        <v>4</v>
      </c>
    </row>
    <row r="34" spans="1:1" x14ac:dyDescent="0.3">
      <c r="A34" t="s">
        <v>5</v>
      </c>
    </row>
  </sheetData>
  <dataValidations count="1">
    <dataValidation type="list" allowBlank="1" showInputMessage="1" showErrorMessage="1" sqref="J1" xr:uid="{EEC118F7-9BB3-4B69-B044-AAFCF17AB784}">
      <formula1>ELIST</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4AB5A-6156-48FA-B385-27F943F7FECE}">
  <sheetPr codeName="Sheet2"/>
  <dimension ref="A1:N86"/>
  <sheetViews>
    <sheetView workbookViewId="0"/>
  </sheetViews>
  <sheetFormatPr defaultRowHeight="14.4" x14ac:dyDescent="0.3"/>
  <cols>
    <col min="2" max="2" width="10" bestFit="1" customWidth="1"/>
    <col min="3" max="3" width="12" bestFit="1" customWidth="1"/>
    <col min="4" max="5" width="12.88671875" style="6" bestFit="1" customWidth="1"/>
    <col min="6" max="6" width="50.6640625" customWidth="1"/>
    <col min="7" max="7" width="10.109375" bestFit="1" customWidth="1"/>
  </cols>
  <sheetData>
    <row r="1" spans="1:14" x14ac:dyDescent="0.3">
      <c r="A1" t="s">
        <v>6</v>
      </c>
      <c r="B1" s="2" t="s">
        <v>7</v>
      </c>
      <c r="C1" s="2" t="s">
        <v>8</v>
      </c>
      <c r="D1" s="7" t="s">
        <v>9</v>
      </c>
      <c r="E1" s="7" t="s">
        <v>10</v>
      </c>
      <c r="F1" s="1" t="s">
        <v>11</v>
      </c>
      <c r="G1" s="1" t="s">
        <v>12</v>
      </c>
      <c r="H1" s="1" t="s">
        <v>13</v>
      </c>
      <c r="J1" t="s">
        <v>14</v>
      </c>
      <c r="K1" t="s">
        <v>287</v>
      </c>
    </row>
    <row r="2" spans="1:14" x14ac:dyDescent="0.3">
      <c r="A2">
        <v>1</v>
      </c>
      <c r="B2" s="10" t="s">
        <v>23</v>
      </c>
      <c r="C2" s="10" t="s">
        <v>24</v>
      </c>
      <c r="D2" s="11">
        <v>38</v>
      </c>
      <c r="E2" s="12">
        <v>41</v>
      </c>
      <c r="F2" s="13" t="s">
        <v>28</v>
      </c>
      <c r="G2" s="5">
        <f>(E2-D2)/D2</f>
        <v>7.8947368421052627E-2</v>
      </c>
      <c r="H2" s="10" t="s">
        <v>35</v>
      </c>
    </row>
    <row r="3" spans="1:14" x14ac:dyDescent="0.3">
      <c r="A3">
        <v>2</v>
      </c>
      <c r="B3" s="10" t="s">
        <v>36</v>
      </c>
      <c r="C3" s="10" t="s">
        <v>37</v>
      </c>
      <c r="D3" s="11">
        <v>28.09</v>
      </c>
      <c r="E3" s="12">
        <v>30.69</v>
      </c>
      <c r="F3" s="13" t="s">
        <v>38</v>
      </c>
      <c r="G3" s="5">
        <f t="shared" ref="G3:G22" si="0">(E3-D3)/D3</f>
        <v>9.2559629761481008E-2</v>
      </c>
      <c r="H3" s="10" t="s">
        <v>27</v>
      </c>
    </row>
    <row r="4" spans="1:14" x14ac:dyDescent="0.3">
      <c r="A4">
        <v>3</v>
      </c>
      <c r="B4" s="10" t="s">
        <v>39</v>
      </c>
      <c r="C4" s="10" t="s">
        <v>40</v>
      </c>
      <c r="D4" s="11">
        <v>55</v>
      </c>
      <c r="E4" s="12">
        <v>58</v>
      </c>
      <c r="F4" s="13" t="s">
        <v>41</v>
      </c>
      <c r="G4" s="5">
        <f t="shared" si="0"/>
        <v>5.4545454545454543E-2</v>
      </c>
      <c r="H4" s="10" t="s">
        <v>42</v>
      </c>
    </row>
    <row r="5" spans="1:14" x14ac:dyDescent="0.3">
      <c r="A5">
        <v>4</v>
      </c>
      <c r="B5" s="10" t="s">
        <v>43</v>
      </c>
      <c r="C5" s="10" t="s">
        <v>44</v>
      </c>
      <c r="D5" s="11">
        <v>29.25</v>
      </c>
      <c r="E5" s="12">
        <v>32.64</v>
      </c>
      <c r="F5" s="13" t="s">
        <v>45</v>
      </c>
      <c r="G5" s="5">
        <f t="shared" si="0"/>
        <v>0.11589743589743591</v>
      </c>
      <c r="H5" s="10" t="s">
        <v>27</v>
      </c>
      <c r="M5" t="s">
        <v>33</v>
      </c>
      <c r="N5" s="9" t="s">
        <v>34</v>
      </c>
    </row>
    <row r="6" spans="1:14" x14ac:dyDescent="0.3">
      <c r="A6">
        <v>5</v>
      </c>
      <c r="B6" s="10" t="s">
        <v>46</v>
      </c>
      <c r="C6" s="10" t="s">
        <v>47</v>
      </c>
      <c r="D6" s="11">
        <v>28.09</v>
      </c>
      <c r="E6" s="12">
        <v>30.69</v>
      </c>
      <c r="F6" s="13" t="s">
        <v>48</v>
      </c>
      <c r="G6" s="5">
        <f t="shared" si="0"/>
        <v>9.2559629761481008E-2</v>
      </c>
      <c r="H6" s="10" t="s">
        <v>27</v>
      </c>
    </row>
    <row r="7" spans="1:14" x14ac:dyDescent="0.3">
      <c r="A7">
        <v>6</v>
      </c>
      <c r="B7" s="10" t="s">
        <v>49</v>
      </c>
      <c r="C7" s="10" t="s">
        <v>50</v>
      </c>
      <c r="D7" s="11">
        <v>33.549999999999997</v>
      </c>
      <c r="E7" s="12">
        <v>34.5</v>
      </c>
      <c r="F7" s="13" t="s">
        <v>51</v>
      </c>
      <c r="G7" s="5">
        <f t="shared" si="0"/>
        <v>2.8315946348733322E-2</v>
      </c>
      <c r="H7" s="10" t="s">
        <v>27</v>
      </c>
    </row>
    <row r="8" spans="1:14" x14ac:dyDescent="0.3">
      <c r="A8">
        <v>7</v>
      </c>
      <c r="B8" s="10" t="s">
        <v>52</v>
      </c>
      <c r="C8" s="10" t="s">
        <v>53</v>
      </c>
      <c r="D8" s="11">
        <v>55</v>
      </c>
      <c r="E8" s="12">
        <v>58</v>
      </c>
      <c r="F8" s="13" t="s">
        <v>54</v>
      </c>
      <c r="G8" s="5">
        <f t="shared" si="0"/>
        <v>5.4545454545454543E-2</v>
      </c>
      <c r="H8" s="14" t="s">
        <v>42</v>
      </c>
    </row>
    <row r="9" spans="1:14" x14ac:dyDescent="0.3">
      <c r="A9">
        <v>8</v>
      </c>
      <c r="B9" s="10" t="s">
        <v>55</v>
      </c>
      <c r="C9" s="10" t="s">
        <v>56</v>
      </c>
      <c r="D9" s="11">
        <v>39</v>
      </c>
      <c r="E9" s="12">
        <v>43</v>
      </c>
      <c r="F9" s="13" t="s">
        <v>57</v>
      </c>
      <c r="G9" s="5">
        <f t="shared" si="0"/>
        <v>0.10256410256410256</v>
      </c>
      <c r="H9" s="10" t="s">
        <v>58</v>
      </c>
    </row>
    <row r="10" spans="1:14" x14ac:dyDescent="0.3">
      <c r="A10">
        <v>9</v>
      </c>
      <c r="B10" s="10" t="s">
        <v>59</v>
      </c>
      <c r="C10" s="10" t="s">
        <v>60</v>
      </c>
      <c r="D10" s="11">
        <v>33</v>
      </c>
      <c r="E10" s="12">
        <v>34.5</v>
      </c>
      <c r="F10" s="13" t="s">
        <v>61</v>
      </c>
      <c r="G10" s="5">
        <f t="shared" si="0"/>
        <v>4.5454545454545456E-2</v>
      </c>
      <c r="H10" s="10" t="s">
        <v>27</v>
      </c>
    </row>
    <row r="11" spans="1:14" x14ac:dyDescent="0.3">
      <c r="A11">
        <v>10</v>
      </c>
      <c r="B11" s="10" t="s">
        <v>62</v>
      </c>
      <c r="C11" s="10" t="s">
        <v>63</v>
      </c>
      <c r="D11" s="11">
        <v>64.75</v>
      </c>
      <c r="E11" s="12">
        <v>66.045000000000002</v>
      </c>
      <c r="F11" s="13" t="s">
        <v>64</v>
      </c>
      <c r="G11" s="5">
        <f t="shared" si="0"/>
        <v>2.0000000000000025E-2</v>
      </c>
      <c r="H11" s="10" t="s">
        <v>65</v>
      </c>
    </row>
    <row r="12" spans="1:14" x14ac:dyDescent="0.3">
      <c r="A12">
        <v>11</v>
      </c>
      <c r="B12" s="10" t="s">
        <v>66</v>
      </c>
      <c r="C12" s="10" t="s">
        <v>67</v>
      </c>
      <c r="D12" s="11">
        <v>85</v>
      </c>
      <c r="E12" s="12">
        <v>86.7</v>
      </c>
      <c r="F12" s="13" t="s">
        <v>68</v>
      </c>
      <c r="G12" s="5">
        <f t="shared" si="0"/>
        <v>2.0000000000000035E-2</v>
      </c>
      <c r="H12" s="10" t="s">
        <v>65</v>
      </c>
    </row>
    <row r="13" spans="1:14" x14ac:dyDescent="0.3">
      <c r="A13">
        <v>12</v>
      </c>
      <c r="B13" s="10" t="s">
        <v>69</v>
      </c>
      <c r="C13" s="10" t="s">
        <v>70</v>
      </c>
      <c r="D13" s="11">
        <v>35</v>
      </c>
      <c r="E13" s="12">
        <v>39</v>
      </c>
      <c r="F13" s="13" t="s">
        <v>71</v>
      </c>
      <c r="G13" s="5">
        <f t="shared" si="0"/>
        <v>0.11428571428571428</v>
      </c>
      <c r="H13" s="10" t="s">
        <v>35</v>
      </c>
    </row>
    <row r="14" spans="1:14" x14ac:dyDescent="0.3">
      <c r="A14">
        <v>13</v>
      </c>
      <c r="B14" s="10" t="s">
        <v>72</v>
      </c>
      <c r="C14" s="10" t="s">
        <v>73</v>
      </c>
      <c r="D14" s="11">
        <v>24.652999999999999</v>
      </c>
      <c r="E14" s="12">
        <v>26.208000000000002</v>
      </c>
      <c r="F14" s="13" t="s">
        <v>74</v>
      </c>
      <c r="G14" s="5">
        <f t="shared" si="0"/>
        <v>6.3075487770251223E-2</v>
      </c>
      <c r="H14" s="10" t="s">
        <v>75</v>
      </c>
    </row>
    <row r="15" spans="1:14" x14ac:dyDescent="0.3">
      <c r="A15">
        <v>14</v>
      </c>
      <c r="B15" s="10" t="s">
        <v>76</v>
      </c>
      <c r="C15" s="10" t="s">
        <v>77</v>
      </c>
      <c r="D15" s="11">
        <v>39</v>
      </c>
      <c r="E15" s="12">
        <v>41</v>
      </c>
      <c r="F15" s="13" t="s">
        <v>78</v>
      </c>
      <c r="G15" s="5">
        <f t="shared" si="0"/>
        <v>5.128205128205128E-2</v>
      </c>
      <c r="H15" s="10" t="s">
        <v>58</v>
      </c>
    </row>
    <row r="16" spans="1:14" x14ac:dyDescent="0.3">
      <c r="A16">
        <v>15</v>
      </c>
      <c r="B16" s="10" t="s">
        <v>79</v>
      </c>
      <c r="C16" s="10" t="s">
        <v>80</v>
      </c>
      <c r="D16" s="11">
        <v>28.51</v>
      </c>
      <c r="E16" s="12">
        <v>30.69</v>
      </c>
      <c r="F16" s="13" t="s">
        <v>81</v>
      </c>
      <c r="G16" s="5">
        <f t="shared" si="0"/>
        <v>7.6464398456681848E-2</v>
      </c>
      <c r="H16" s="10" t="s">
        <v>27</v>
      </c>
    </row>
    <row r="17" spans="1:8" x14ac:dyDescent="0.3">
      <c r="A17">
        <v>16</v>
      </c>
      <c r="B17" s="10" t="s">
        <v>82</v>
      </c>
      <c r="C17" s="10" t="s">
        <v>83</v>
      </c>
      <c r="D17" s="11">
        <v>28.51</v>
      </c>
      <c r="E17" s="12">
        <v>30.69</v>
      </c>
      <c r="F17" s="13" t="s">
        <v>84</v>
      </c>
      <c r="G17" s="5">
        <f t="shared" si="0"/>
        <v>7.6464398456681848E-2</v>
      </c>
      <c r="H17" s="10" t="s">
        <v>27</v>
      </c>
    </row>
    <row r="18" spans="1:8" x14ac:dyDescent="0.3">
      <c r="A18">
        <v>17</v>
      </c>
      <c r="B18" s="10" t="s">
        <v>85</v>
      </c>
      <c r="C18" s="10" t="s">
        <v>86</v>
      </c>
      <c r="D18" s="11">
        <v>28.52</v>
      </c>
      <c r="E18" s="12">
        <v>30.69</v>
      </c>
      <c r="F18" s="13" t="s">
        <v>87</v>
      </c>
      <c r="G18" s="5">
        <f t="shared" si="0"/>
        <v>7.6086956521739191E-2</v>
      </c>
      <c r="H18" s="10" t="s">
        <v>27</v>
      </c>
    </row>
    <row r="19" spans="1:8" x14ac:dyDescent="0.3">
      <c r="A19">
        <v>18</v>
      </c>
      <c r="B19" s="10" t="s">
        <v>22</v>
      </c>
      <c r="C19" s="10" t="s">
        <v>88</v>
      </c>
      <c r="D19" s="11">
        <v>27.59</v>
      </c>
      <c r="E19" s="12">
        <v>29.12</v>
      </c>
      <c r="F19" s="13" t="s">
        <v>89</v>
      </c>
      <c r="G19" s="5">
        <f t="shared" si="0"/>
        <v>5.545487495469377E-2</v>
      </c>
      <c r="H19" s="10" t="s">
        <v>75</v>
      </c>
    </row>
    <row r="20" spans="1:8" x14ac:dyDescent="0.3">
      <c r="A20">
        <v>19</v>
      </c>
      <c r="B20" s="10" t="s">
        <v>90</v>
      </c>
      <c r="C20" s="10" t="s">
        <v>91</v>
      </c>
      <c r="D20" s="11">
        <v>27.17</v>
      </c>
      <c r="E20" s="12">
        <v>29.12</v>
      </c>
      <c r="F20" s="13" t="s">
        <v>92</v>
      </c>
      <c r="G20" s="5">
        <f t="shared" si="0"/>
        <v>7.1770334928229637E-2</v>
      </c>
      <c r="H20" s="10" t="s">
        <v>75</v>
      </c>
    </row>
    <row r="21" spans="1:8" x14ac:dyDescent="0.3">
      <c r="A21">
        <v>20</v>
      </c>
      <c r="B21" s="10" t="s">
        <v>93</v>
      </c>
      <c r="C21" s="10" t="s">
        <v>94</v>
      </c>
      <c r="D21" s="11">
        <v>31</v>
      </c>
      <c r="E21" s="12">
        <v>32</v>
      </c>
      <c r="F21" s="13" t="s">
        <v>95</v>
      </c>
      <c r="G21" s="5">
        <f t="shared" si="0"/>
        <v>3.2258064516129031E-2</v>
      </c>
      <c r="H21" s="10" t="s">
        <v>27</v>
      </c>
    </row>
    <row r="22" spans="1:8" x14ac:dyDescent="0.3">
      <c r="A22">
        <v>21</v>
      </c>
      <c r="B22" s="10" t="s">
        <v>22</v>
      </c>
      <c r="C22" s="10" t="s">
        <v>96</v>
      </c>
      <c r="D22" s="11">
        <v>35.5</v>
      </c>
      <c r="E22" s="12">
        <v>36.21</v>
      </c>
      <c r="F22" s="13" t="s">
        <v>97</v>
      </c>
      <c r="G22" s="5">
        <f t="shared" si="0"/>
        <v>2.0000000000000025E-2</v>
      </c>
      <c r="H22" s="10" t="s">
        <v>27</v>
      </c>
    </row>
    <row r="23" spans="1:8" x14ac:dyDescent="0.3">
      <c r="A23">
        <v>22</v>
      </c>
      <c r="B23" s="10" t="s">
        <v>98</v>
      </c>
      <c r="C23" s="10" t="s">
        <v>99</v>
      </c>
      <c r="D23" s="11">
        <v>63.5</v>
      </c>
      <c r="E23" s="12">
        <v>64.77</v>
      </c>
      <c r="F23" s="13" t="s">
        <v>100</v>
      </c>
      <c r="G23" s="5">
        <f t="shared" ref="G23:G64" si="1">(E23-D23)/D23</f>
        <v>1.9999999999999938E-2</v>
      </c>
      <c r="H23" s="10" t="s">
        <v>26</v>
      </c>
    </row>
    <row r="24" spans="1:8" x14ac:dyDescent="0.3">
      <c r="A24">
        <v>23</v>
      </c>
      <c r="B24" s="10" t="s">
        <v>101</v>
      </c>
      <c r="C24" s="10" t="s">
        <v>102</v>
      </c>
      <c r="D24" s="11">
        <v>50</v>
      </c>
      <c r="E24" s="12">
        <v>51.88</v>
      </c>
      <c r="F24" s="13" t="s">
        <v>103</v>
      </c>
      <c r="G24" s="5">
        <f t="shared" si="1"/>
        <v>3.760000000000005E-2</v>
      </c>
      <c r="H24" s="10" t="s">
        <v>25</v>
      </c>
    </row>
    <row r="25" spans="1:8" x14ac:dyDescent="0.3">
      <c r="A25">
        <v>24</v>
      </c>
      <c r="B25" s="10" t="s">
        <v>104</v>
      </c>
      <c r="C25" s="10" t="s">
        <v>105</v>
      </c>
      <c r="D25" s="11">
        <v>45</v>
      </c>
      <c r="E25" s="12">
        <v>45.9</v>
      </c>
      <c r="F25" s="13" t="s">
        <v>106</v>
      </c>
      <c r="G25" s="5">
        <f t="shared" si="1"/>
        <v>1.9999999999999969E-2</v>
      </c>
      <c r="H25" s="10" t="s">
        <v>42</v>
      </c>
    </row>
    <row r="26" spans="1:8" x14ac:dyDescent="0.3">
      <c r="A26">
        <v>25</v>
      </c>
      <c r="B26" s="10" t="s">
        <v>107</v>
      </c>
      <c r="C26" s="10" t="s">
        <v>108</v>
      </c>
      <c r="D26" s="11">
        <v>31.73</v>
      </c>
      <c r="E26" s="12">
        <v>34</v>
      </c>
      <c r="F26" s="13" t="s">
        <v>109</v>
      </c>
      <c r="G26" s="5">
        <f t="shared" si="1"/>
        <v>7.1541128269776225E-2</v>
      </c>
      <c r="H26" s="10" t="s">
        <v>27</v>
      </c>
    </row>
    <row r="27" spans="1:8" x14ac:dyDescent="0.3">
      <c r="A27">
        <v>26</v>
      </c>
      <c r="B27" s="10" t="s">
        <v>110</v>
      </c>
      <c r="C27" s="10" t="s">
        <v>111</v>
      </c>
      <c r="D27" s="11">
        <v>28.14</v>
      </c>
      <c r="E27" s="12">
        <v>30.69</v>
      </c>
      <c r="F27" s="13" t="s">
        <v>112</v>
      </c>
      <c r="G27" s="5">
        <f t="shared" si="1"/>
        <v>9.0618336886993625E-2</v>
      </c>
      <c r="H27" s="10" t="s">
        <v>27</v>
      </c>
    </row>
    <row r="28" spans="1:8" x14ac:dyDescent="0.3">
      <c r="A28">
        <v>27</v>
      </c>
      <c r="B28" s="10" t="s">
        <v>113</v>
      </c>
      <c r="C28" s="10" t="s">
        <v>21</v>
      </c>
      <c r="D28" s="11">
        <v>28.14</v>
      </c>
      <c r="E28" s="12">
        <v>30.69</v>
      </c>
      <c r="F28" s="13" t="s">
        <v>114</v>
      </c>
      <c r="G28" s="5">
        <f t="shared" si="1"/>
        <v>9.0618336886993625E-2</v>
      </c>
      <c r="H28" s="10" t="s">
        <v>27</v>
      </c>
    </row>
    <row r="29" spans="1:8" x14ac:dyDescent="0.3">
      <c r="A29">
        <v>28</v>
      </c>
      <c r="B29" s="10" t="s">
        <v>115</v>
      </c>
      <c r="C29" s="10" t="s">
        <v>116</v>
      </c>
      <c r="D29" s="11">
        <v>39</v>
      </c>
      <c r="E29" s="12">
        <v>46</v>
      </c>
      <c r="F29" s="13" t="s">
        <v>117</v>
      </c>
      <c r="G29" s="5">
        <f t="shared" si="1"/>
        <v>0.17948717948717949</v>
      </c>
      <c r="H29" s="10" t="s">
        <v>58</v>
      </c>
    </row>
    <row r="30" spans="1:8" x14ac:dyDescent="0.3">
      <c r="A30">
        <v>29</v>
      </c>
      <c r="B30" s="10" t="s">
        <v>118</v>
      </c>
      <c r="C30" s="10" t="s">
        <v>119</v>
      </c>
      <c r="D30" s="11">
        <v>28</v>
      </c>
      <c r="E30" s="12">
        <v>30.69</v>
      </c>
      <c r="F30" s="13" t="s">
        <v>120</v>
      </c>
      <c r="G30" s="5">
        <f t="shared" si="1"/>
        <v>9.6071428571428613E-2</v>
      </c>
      <c r="H30" s="10" t="s">
        <v>75</v>
      </c>
    </row>
    <row r="31" spans="1:8" x14ac:dyDescent="0.3">
      <c r="A31">
        <v>30</v>
      </c>
      <c r="B31" s="10" t="s">
        <v>121</v>
      </c>
      <c r="C31" s="10" t="s">
        <v>122</v>
      </c>
      <c r="D31" s="11">
        <v>28.14</v>
      </c>
      <c r="E31" s="12">
        <v>30.69</v>
      </c>
      <c r="F31" s="13" t="s">
        <v>123</v>
      </c>
      <c r="G31" s="5">
        <f t="shared" si="1"/>
        <v>9.0618336886993625E-2</v>
      </c>
      <c r="H31" s="10" t="s">
        <v>27</v>
      </c>
    </row>
    <row r="32" spans="1:8" x14ac:dyDescent="0.3">
      <c r="A32">
        <v>31</v>
      </c>
      <c r="B32" s="10" t="s">
        <v>124</v>
      </c>
      <c r="C32" s="10" t="s">
        <v>125</v>
      </c>
      <c r="D32" s="11">
        <v>73</v>
      </c>
      <c r="E32" s="12">
        <v>73.5</v>
      </c>
      <c r="F32" s="13" t="s">
        <v>126</v>
      </c>
      <c r="G32" s="5">
        <f t="shared" si="1"/>
        <v>6.8493150684931503E-3</v>
      </c>
      <c r="H32" s="10" t="s">
        <v>26</v>
      </c>
    </row>
    <row r="33" spans="1:8" x14ac:dyDescent="0.3">
      <c r="A33">
        <v>32</v>
      </c>
      <c r="B33" s="10" t="s">
        <v>127</v>
      </c>
      <c r="C33" s="10" t="s">
        <v>21</v>
      </c>
      <c r="D33" s="11">
        <v>48</v>
      </c>
      <c r="E33" s="12">
        <v>49.5</v>
      </c>
      <c r="F33" s="13" t="s">
        <v>128</v>
      </c>
      <c r="G33" s="5">
        <f t="shared" si="1"/>
        <v>3.125E-2</v>
      </c>
      <c r="H33" s="10" t="s">
        <v>25</v>
      </c>
    </row>
    <row r="34" spans="1:8" x14ac:dyDescent="0.3">
      <c r="A34">
        <v>33</v>
      </c>
      <c r="B34" s="10" t="s">
        <v>129</v>
      </c>
      <c r="C34" s="10" t="s">
        <v>130</v>
      </c>
      <c r="D34" s="11">
        <v>55</v>
      </c>
      <c r="E34" s="12">
        <v>56.8</v>
      </c>
      <c r="F34" s="13" t="s">
        <v>131</v>
      </c>
      <c r="G34" s="5">
        <f t="shared" si="1"/>
        <v>3.2727272727272674E-2</v>
      </c>
      <c r="H34" s="10" t="s">
        <v>26</v>
      </c>
    </row>
    <row r="35" spans="1:8" x14ac:dyDescent="0.3">
      <c r="A35">
        <v>34</v>
      </c>
      <c r="B35" s="10" t="s">
        <v>132</v>
      </c>
      <c r="C35" s="10" t="s">
        <v>133</v>
      </c>
      <c r="D35" s="11">
        <v>63</v>
      </c>
      <c r="E35" s="12">
        <v>68</v>
      </c>
      <c r="F35" s="13" t="s">
        <v>134</v>
      </c>
      <c r="G35" s="5">
        <f t="shared" si="1"/>
        <v>7.9365079365079361E-2</v>
      </c>
      <c r="H35" s="10" t="s">
        <v>135</v>
      </c>
    </row>
    <row r="36" spans="1:8" x14ac:dyDescent="0.3">
      <c r="A36">
        <v>35</v>
      </c>
      <c r="B36" s="10" t="s">
        <v>136</v>
      </c>
      <c r="C36" s="10" t="s">
        <v>137</v>
      </c>
      <c r="D36" s="11">
        <v>48</v>
      </c>
      <c r="E36" s="12">
        <v>50.8</v>
      </c>
      <c r="F36" s="13" t="s">
        <v>138</v>
      </c>
      <c r="G36" s="5">
        <f t="shared" si="1"/>
        <v>5.8333333333333272E-2</v>
      </c>
      <c r="H36" s="10" t="s">
        <v>26</v>
      </c>
    </row>
    <row r="37" spans="1:8" x14ac:dyDescent="0.3">
      <c r="A37">
        <v>36</v>
      </c>
      <c r="B37" s="10" t="s">
        <v>139</v>
      </c>
      <c r="C37" s="10" t="s">
        <v>108</v>
      </c>
      <c r="D37" s="11">
        <v>60.872</v>
      </c>
      <c r="E37" s="12">
        <v>62</v>
      </c>
      <c r="F37" s="13" t="s">
        <v>140</v>
      </c>
      <c r="G37" s="5">
        <f t="shared" si="1"/>
        <v>1.8530687343934815E-2</v>
      </c>
      <c r="H37" s="10" t="s">
        <v>25</v>
      </c>
    </row>
    <row r="38" spans="1:8" x14ac:dyDescent="0.3">
      <c r="A38">
        <v>37</v>
      </c>
      <c r="B38" s="10" t="s">
        <v>141</v>
      </c>
      <c r="C38" s="10" t="s">
        <v>142</v>
      </c>
      <c r="D38" s="11">
        <v>34.83</v>
      </c>
      <c r="E38" s="12">
        <v>36.1</v>
      </c>
      <c r="F38" s="13" t="s">
        <v>143</v>
      </c>
      <c r="G38" s="5">
        <f t="shared" si="1"/>
        <v>3.6462819408555933E-2</v>
      </c>
      <c r="H38" s="10" t="s">
        <v>144</v>
      </c>
    </row>
    <row r="39" spans="1:8" x14ac:dyDescent="0.3">
      <c r="A39">
        <v>38</v>
      </c>
      <c r="B39" s="10" t="s">
        <v>145</v>
      </c>
      <c r="C39" s="10" t="s">
        <v>146</v>
      </c>
      <c r="D39" s="11">
        <v>28</v>
      </c>
      <c r="E39" s="12">
        <v>29.12</v>
      </c>
      <c r="F39" s="13" t="s">
        <v>147</v>
      </c>
      <c r="G39" s="5">
        <f t="shared" si="1"/>
        <v>4.0000000000000036E-2</v>
      </c>
      <c r="H39" s="10" t="s">
        <v>75</v>
      </c>
    </row>
    <row r="40" spans="1:8" x14ac:dyDescent="0.3">
      <c r="A40">
        <v>39</v>
      </c>
      <c r="B40" s="10" t="s">
        <v>148</v>
      </c>
      <c r="C40" s="10" t="s">
        <v>149</v>
      </c>
      <c r="D40" s="11">
        <v>55</v>
      </c>
      <c r="E40" s="12">
        <v>60</v>
      </c>
      <c r="F40" s="13" t="s">
        <v>150</v>
      </c>
      <c r="G40" s="5">
        <f t="shared" si="1"/>
        <v>9.0909090909090912E-2</v>
      </c>
      <c r="H40" s="10" t="s">
        <v>42</v>
      </c>
    </row>
    <row r="41" spans="1:8" x14ac:dyDescent="0.3">
      <c r="A41">
        <v>40</v>
      </c>
      <c r="B41" s="10" t="s">
        <v>151</v>
      </c>
      <c r="C41" s="10" t="s">
        <v>152</v>
      </c>
      <c r="D41" s="11">
        <v>34</v>
      </c>
      <c r="E41" s="12">
        <v>38.35</v>
      </c>
      <c r="F41" s="13" t="s">
        <v>153</v>
      </c>
      <c r="G41" s="5">
        <f t="shared" si="1"/>
        <v>0.12794117647058828</v>
      </c>
      <c r="H41" s="10" t="s">
        <v>35</v>
      </c>
    </row>
    <row r="42" spans="1:8" x14ac:dyDescent="0.3">
      <c r="A42">
        <v>41</v>
      </c>
      <c r="B42" s="10" t="s">
        <v>19</v>
      </c>
      <c r="C42" s="10" t="s">
        <v>154</v>
      </c>
      <c r="D42" s="11">
        <v>29.4</v>
      </c>
      <c r="E42" s="12">
        <v>31.240000000000002</v>
      </c>
      <c r="F42" s="13" t="s">
        <v>155</v>
      </c>
      <c r="G42" s="5">
        <f t="shared" si="1"/>
        <v>6.2585034013605559E-2</v>
      </c>
      <c r="H42" s="10" t="s">
        <v>27</v>
      </c>
    </row>
    <row r="43" spans="1:8" x14ac:dyDescent="0.3">
      <c r="A43">
        <v>42</v>
      </c>
      <c r="B43" s="10" t="s">
        <v>156</v>
      </c>
      <c r="C43" s="10" t="s">
        <v>157</v>
      </c>
      <c r="D43" s="11">
        <v>52</v>
      </c>
      <c r="E43" s="12">
        <v>55</v>
      </c>
      <c r="F43" s="13" t="s">
        <v>158</v>
      </c>
      <c r="G43" s="5">
        <f t="shared" si="1"/>
        <v>5.7692307692307696E-2</v>
      </c>
      <c r="H43" s="10" t="s">
        <v>159</v>
      </c>
    </row>
    <row r="44" spans="1:8" x14ac:dyDescent="0.3">
      <c r="A44">
        <v>43</v>
      </c>
      <c r="B44" s="10" t="s">
        <v>20</v>
      </c>
      <c r="C44" s="10" t="s">
        <v>160</v>
      </c>
      <c r="D44" s="11">
        <v>52</v>
      </c>
      <c r="E44" s="12">
        <v>55</v>
      </c>
      <c r="F44" s="13" t="s">
        <v>161</v>
      </c>
      <c r="G44" s="5">
        <f t="shared" si="1"/>
        <v>5.7692307692307696E-2</v>
      </c>
      <c r="H44" s="10" t="s">
        <v>159</v>
      </c>
    </row>
    <row r="45" spans="1:8" x14ac:dyDescent="0.3">
      <c r="A45">
        <v>44</v>
      </c>
      <c r="B45" s="10" t="s">
        <v>162</v>
      </c>
      <c r="C45" s="10" t="s">
        <v>163</v>
      </c>
      <c r="D45" s="11">
        <v>75</v>
      </c>
      <c r="E45" s="12">
        <v>76.5</v>
      </c>
      <c r="F45" s="13" t="s">
        <v>164</v>
      </c>
      <c r="G45" s="5">
        <f t="shared" si="1"/>
        <v>0.02</v>
      </c>
      <c r="H45" s="10" t="s">
        <v>65</v>
      </c>
    </row>
    <row r="46" spans="1:8" x14ac:dyDescent="0.3">
      <c r="A46">
        <v>45</v>
      </c>
      <c r="B46" s="10" t="s">
        <v>165</v>
      </c>
      <c r="C46" s="10" t="s">
        <v>166</v>
      </c>
      <c r="D46" s="11">
        <v>30</v>
      </c>
      <c r="E46" s="12">
        <v>30.6</v>
      </c>
      <c r="F46" s="13" t="s">
        <v>167</v>
      </c>
      <c r="G46" s="5">
        <f t="shared" si="1"/>
        <v>2.0000000000000049E-2</v>
      </c>
      <c r="H46" s="10" t="s">
        <v>75</v>
      </c>
    </row>
    <row r="47" spans="1:8" x14ac:dyDescent="0.3">
      <c r="A47">
        <v>46</v>
      </c>
      <c r="B47" s="10" t="s">
        <v>168</v>
      </c>
      <c r="C47" s="10" t="s">
        <v>169</v>
      </c>
      <c r="D47" s="11">
        <v>31.33</v>
      </c>
      <c r="E47" s="12">
        <v>32.489600000000003</v>
      </c>
      <c r="F47" s="13" t="s">
        <v>170</v>
      </c>
      <c r="G47" s="5">
        <f t="shared" si="1"/>
        <v>3.7012448132780235E-2</v>
      </c>
      <c r="H47" s="10" t="s">
        <v>171</v>
      </c>
    </row>
    <row r="48" spans="1:8" x14ac:dyDescent="0.3">
      <c r="A48">
        <v>47</v>
      </c>
      <c r="B48" s="10" t="s">
        <v>172</v>
      </c>
      <c r="C48" s="10" t="s">
        <v>173</v>
      </c>
      <c r="D48" s="11">
        <v>34</v>
      </c>
      <c r="E48" s="12">
        <v>40</v>
      </c>
      <c r="F48" s="13" t="s">
        <v>174</v>
      </c>
      <c r="G48" s="5">
        <f t="shared" si="1"/>
        <v>0.17647058823529413</v>
      </c>
      <c r="H48" s="10" t="s">
        <v>175</v>
      </c>
    </row>
    <row r="49" spans="1:8" x14ac:dyDescent="0.3">
      <c r="A49">
        <v>48</v>
      </c>
      <c r="B49" s="10" t="s">
        <v>176</v>
      </c>
      <c r="C49" s="10" t="s">
        <v>177</v>
      </c>
      <c r="D49" s="11">
        <v>27.16</v>
      </c>
      <c r="E49" s="12">
        <v>29.12</v>
      </c>
      <c r="F49" s="13" t="s">
        <v>178</v>
      </c>
      <c r="G49" s="5">
        <f t="shared" si="1"/>
        <v>7.2164948453608282E-2</v>
      </c>
      <c r="H49" s="10" t="s">
        <v>75</v>
      </c>
    </row>
    <row r="50" spans="1:8" x14ac:dyDescent="0.3">
      <c r="A50">
        <v>49</v>
      </c>
      <c r="B50" s="10" t="s">
        <v>179</v>
      </c>
      <c r="C50" s="10" t="s">
        <v>180</v>
      </c>
      <c r="D50" s="11">
        <v>27.16</v>
      </c>
      <c r="E50" s="12">
        <v>29.12</v>
      </c>
      <c r="F50" s="13" t="s">
        <v>181</v>
      </c>
      <c r="G50" s="5">
        <f t="shared" si="1"/>
        <v>7.2164948453608282E-2</v>
      </c>
      <c r="H50" s="10" t="s">
        <v>75</v>
      </c>
    </row>
    <row r="51" spans="1:8" x14ac:dyDescent="0.3">
      <c r="A51">
        <v>50</v>
      </c>
      <c r="B51" s="10" t="s">
        <v>182</v>
      </c>
      <c r="C51" s="10" t="s">
        <v>183</v>
      </c>
      <c r="D51" s="11">
        <v>27.16</v>
      </c>
      <c r="E51" s="12">
        <v>29.12</v>
      </c>
      <c r="F51" s="13" t="s">
        <v>184</v>
      </c>
      <c r="G51" s="5">
        <f t="shared" si="1"/>
        <v>7.2164948453608282E-2</v>
      </c>
      <c r="H51" s="10" t="s">
        <v>75</v>
      </c>
    </row>
    <row r="52" spans="1:8" x14ac:dyDescent="0.3">
      <c r="A52">
        <v>51</v>
      </c>
      <c r="B52" s="10" t="s">
        <v>185</v>
      </c>
      <c r="C52" s="10" t="s">
        <v>186</v>
      </c>
      <c r="D52" s="11">
        <v>28.52</v>
      </c>
      <c r="E52" s="12">
        <v>29.12</v>
      </c>
      <c r="F52" s="13" t="s">
        <v>187</v>
      </c>
      <c r="G52" s="5">
        <f t="shared" si="1"/>
        <v>2.1037868162692899E-2</v>
      </c>
      <c r="H52" s="10" t="s">
        <v>75</v>
      </c>
    </row>
    <row r="53" spans="1:8" x14ac:dyDescent="0.3">
      <c r="A53">
        <v>52</v>
      </c>
      <c r="B53" s="10" t="s">
        <v>101</v>
      </c>
      <c r="C53" s="10" t="s">
        <v>188</v>
      </c>
      <c r="D53" s="11">
        <v>30.91</v>
      </c>
      <c r="E53" s="12">
        <v>40</v>
      </c>
      <c r="F53" s="13" t="s">
        <v>189</v>
      </c>
      <c r="G53" s="5">
        <f t="shared" si="1"/>
        <v>0.29407958589453248</v>
      </c>
      <c r="H53" s="10" t="s">
        <v>175</v>
      </c>
    </row>
    <row r="54" spans="1:8" x14ac:dyDescent="0.3">
      <c r="A54">
        <v>53</v>
      </c>
      <c r="B54" s="10" t="s">
        <v>190</v>
      </c>
      <c r="C54" s="10" t="s">
        <v>191</v>
      </c>
      <c r="D54" s="11">
        <v>27.17</v>
      </c>
      <c r="E54" s="12">
        <v>29.12</v>
      </c>
      <c r="F54" s="13" t="s">
        <v>192</v>
      </c>
      <c r="G54" s="5">
        <f t="shared" si="1"/>
        <v>7.1770334928229637E-2</v>
      </c>
      <c r="H54" s="10" t="s">
        <v>75</v>
      </c>
    </row>
    <row r="55" spans="1:8" x14ac:dyDescent="0.3">
      <c r="A55">
        <v>54</v>
      </c>
      <c r="B55" s="10" t="s">
        <v>193</v>
      </c>
      <c r="C55" s="10" t="s">
        <v>194</v>
      </c>
      <c r="D55" s="11">
        <v>27.17</v>
      </c>
      <c r="E55" s="12">
        <v>29.12</v>
      </c>
      <c r="F55" s="13" t="s">
        <v>195</v>
      </c>
      <c r="G55" s="5">
        <f t="shared" si="1"/>
        <v>7.1770334928229637E-2</v>
      </c>
      <c r="H55" s="10" t="s">
        <v>75</v>
      </c>
    </row>
    <row r="56" spans="1:8" x14ac:dyDescent="0.3">
      <c r="A56">
        <v>55</v>
      </c>
      <c r="B56" s="10" t="s">
        <v>196</v>
      </c>
      <c r="C56" s="10" t="s">
        <v>197</v>
      </c>
      <c r="D56" s="11">
        <v>70</v>
      </c>
      <c r="E56" s="12">
        <v>71.400000000000006</v>
      </c>
      <c r="F56" s="13" t="s">
        <v>198</v>
      </c>
      <c r="G56" s="5">
        <f t="shared" si="1"/>
        <v>2.000000000000008E-2</v>
      </c>
      <c r="H56" s="10" t="s">
        <v>25</v>
      </c>
    </row>
    <row r="57" spans="1:8" x14ac:dyDescent="0.3">
      <c r="A57">
        <v>56</v>
      </c>
      <c r="B57" s="10" t="s">
        <v>196</v>
      </c>
      <c r="C57" s="10" t="s">
        <v>199</v>
      </c>
      <c r="D57" s="11">
        <v>30</v>
      </c>
      <c r="E57" s="12">
        <v>31.240000000000002</v>
      </c>
      <c r="F57" s="13" t="s">
        <v>200</v>
      </c>
      <c r="G57" s="5">
        <f t="shared" si="1"/>
        <v>4.1333333333333402E-2</v>
      </c>
      <c r="H57" s="10" t="s">
        <v>27</v>
      </c>
    </row>
    <row r="58" spans="1:8" x14ac:dyDescent="0.3">
      <c r="A58">
        <v>57</v>
      </c>
      <c r="B58" s="10" t="s">
        <v>201</v>
      </c>
      <c r="C58" s="10" t="s">
        <v>202</v>
      </c>
      <c r="D58" s="11">
        <v>27.17</v>
      </c>
      <c r="E58" s="12">
        <v>29.12</v>
      </c>
      <c r="F58" s="13" t="s">
        <v>203</v>
      </c>
      <c r="G58" s="5">
        <f t="shared" si="1"/>
        <v>7.1770334928229637E-2</v>
      </c>
      <c r="H58" s="10" t="s">
        <v>75</v>
      </c>
    </row>
    <row r="59" spans="1:8" x14ac:dyDescent="0.3">
      <c r="A59">
        <v>58</v>
      </c>
      <c r="B59" s="10" t="s">
        <v>204</v>
      </c>
      <c r="C59" s="10" t="s">
        <v>205</v>
      </c>
      <c r="D59" s="11">
        <v>27.17</v>
      </c>
      <c r="E59" s="12">
        <v>29.12</v>
      </c>
      <c r="F59" s="13" t="s">
        <v>206</v>
      </c>
      <c r="G59" s="5">
        <f t="shared" si="1"/>
        <v>7.1770334928229637E-2</v>
      </c>
      <c r="H59" s="10" t="s">
        <v>75</v>
      </c>
    </row>
    <row r="60" spans="1:8" x14ac:dyDescent="0.3">
      <c r="A60">
        <v>59</v>
      </c>
      <c r="B60" s="10" t="s">
        <v>207</v>
      </c>
      <c r="C60" s="10" t="s">
        <v>208</v>
      </c>
      <c r="D60" s="11">
        <v>27.17</v>
      </c>
      <c r="E60" s="12">
        <v>29.12</v>
      </c>
      <c r="F60" s="13" t="s">
        <v>209</v>
      </c>
      <c r="G60" s="5">
        <f t="shared" si="1"/>
        <v>7.1770334928229637E-2</v>
      </c>
      <c r="H60" s="10" t="s">
        <v>75</v>
      </c>
    </row>
    <row r="61" spans="1:8" x14ac:dyDescent="0.3">
      <c r="A61">
        <v>60</v>
      </c>
      <c r="B61" s="10" t="s">
        <v>210</v>
      </c>
      <c r="C61" s="10" t="s">
        <v>211</v>
      </c>
      <c r="D61" s="11">
        <v>27.17</v>
      </c>
      <c r="E61" s="12">
        <v>30</v>
      </c>
      <c r="F61" s="13" t="s">
        <v>212</v>
      </c>
      <c r="G61" s="5">
        <f t="shared" si="1"/>
        <v>0.10415899889584093</v>
      </c>
      <c r="H61" s="10" t="s">
        <v>75</v>
      </c>
    </row>
    <row r="62" spans="1:8" x14ac:dyDescent="0.3">
      <c r="A62">
        <v>61</v>
      </c>
      <c r="B62" s="10" t="s">
        <v>141</v>
      </c>
      <c r="C62" s="10" t="s">
        <v>213</v>
      </c>
      <c r="D62" s="11">
        <v>27.18</v>
      </c>
      <c r="E62" s="12">
        <v>29.12</v>
      </c>
      <c r="F62" s="13" t="s">
        <v>214</v>
      </c>
      <c r="G62" s="5">
        <f t="shared" si="1"/>
        <v>7.1376011773362821E-2</v>
      </c>
      <c r="H62" s="10" t="s">
        <v>75</v>
      </c>
    </row>
    <row r="63" spans="1:8" x14ac:dyDescent="0.3">
      <c r="A63">
        <v>62</v>
      </c>
      <c r="B63" s="10" t="s">
        <v>215</v>
      </c>
      <c r="C63" s="10" t="s">
        <v>216</v>
      </c>
      <c r="D63" s="11">
        <v>27.55</v>
      </c>
      <c r="E63" s="12">
        <v>29.12</v>
      </c>
      <c r="F63" s="13" t="s">
        <v>217</v>
      </c>
      <c r="G63" s="5">
        <f t="shared" si="1"/>
        <v>5.6987295825771334E-2</v>
      </c>
      <c r="H63" s="10" t="s">
        <v>75</v>
      </c>
    </row>
    <row r="64" spans="1:8" x14ac:dyDescent="0.3">
      <c r="A64">
        <v>63</v>
      </c>
      <c r="B64" s="10" t="s">
        <v>218</v>
      </c>
      <c r="C64" s="10" t="s">
        <v>219</v>
      </c>
      <c r="D64" s="11">
        <v>72</v>
      </c>
      <c r="E64" s="12">
        <v>73.44</v>
      </c>
      <c r="F64" s="13" t="s">
        <v>220</v>
      </c>
      <c r="G64" s="5">
        <f t="shared" si="1"/>
        <v>1.9999999999999969E-2</v>
      </c>
      <c r="H64" s="10" t="s">
        <v>26</v>
      </c>
    </row>
    <row r="65" spans="1:8" x14ac:dyDescent="0.3">
      <c r="A65">
        <v>64</v>
      </c>
      <c r="B65" s="10" t="s">
        <v>172</v>
      </c>
      <c r="C65" s="10" t="s">
        <v>221</v>
      </c>
      <c r="D65" s="11">
        <v>27.17</v>
      </c>
      <c r="E65" s="12">
        <v>29.12</v>
      </c>
      <c r="F65" s="13" t="s">
        <v>222</v>
      </c>
      <c r="G65" s="5">
        <f t="shared" ref="G65:G86" si="2">(E65-D65)/D65</f>
        <v>7.1770334928229637E-2</v>
      </c>
      <c r="H65" s="10" t="s">
        <v>75</v>
      </c>
    </row>
    <row r="66" spans="1:8" x14ac:dyDescent="0.3">
      <c r="A66">
        <v>65</v>
      </c>
      <c r="B66" s="10" t="s">
        <v>223</v>
      </c>
      <c r="C66" s="10" t="s">
        <v>224</v>
      </c>
      <c r="D66" s="11">
        <v>55</v>
      </c>
      <c r="E66" s="12">
        <v>56.1</v>
      </c>
      <c r="F66" s="13" t="s">
        <v>225</v>
      </c>
      <c r="G66" s="5">
        <f t="shared" si="2"/>
        <v>2.0000000000000025E-2</v>
      </c>
      <c r="H66" s="10" t="s">
        <v>226</v>
      </c>
    </row>
    <row r="67" spans="1:8" x14ac:dyDescent="0.3">
      <c r="A67">
        <v>66</v>
      </c>
      <c r="B67" s="10" t="s">
        <v>227</v>
      </c>
      <c r="C67" s="10" t="s">
        <v>228</v>
      </c>
      <c r="D67" s="11">
        <v>54</v>
      </c>
      <c r="E67" s="12">
        <v>55.08</v>
      </c>
      <c r="F67" s="13" t="s">
        <v>229</v>
      </c>
      <c r="G67" s="5">
        <f t="shared" si="2"/>
        <v>1.9999999999999969E-2</v>
      </c>
      <c r="H67" s="10" t="s">
        <v>230</v>
      </c>
    </row>
    <row r="68" spans="1:8" x14ac:dyDescent="0.3">
      <c r="A68">
        <v>67</v>
      </c>
      <c r="B68" s="10" t="s">
        <v>108</v>
      </c>
      <c r="C68" s="10" t="s">
        <v>231</v>
      </c>
      <c r="D68" s="11">
        <v>42</v>
      </c>
      <c r="E68" s="12">
        <v>45</v>
      </c>
      <c r="F68" s="13" t="s">
        <v>232</v>
      </c>
      <c r="G68" s="5">
        <f t="shared" si="2"/>
        <v>7.1428571428571425E-2</v>
      </c>
      <c r="H68" s="10" t="s">
        <v>58</v>
      </c>
    </row>
    <row r="69" spans="1:8" x14ac:dyDescent="0.3">
      <c r="A69">
        <v>68</v>
      </c>
      <c r="B69" s="10" t="s">
        <v>233</v>
      </c>
      <c r="C69" s="10" t="s">
        <v>234</v>
      </c>
      <c r="D69" s="11">
        <v>28.53</v>
      </c>
      <c r="E69" s="12">
        <v>29.12</v>
      </c>
      <c r="F69" s="13" t="s">
        <v>235</v>
      </c>
      <c r="G69" s="5">
        <f t="shared" si="2"/>
        <v>2.0679985979670516E-2</v>
      </c>
      <c r="H69" s="10" t="s">
        <v>75</v>
      </c>
    </row>
    <row r="70" spans="1:8" x14ac:dyDescent="0.3">
      <c r="A70">
        <v>69</v>
      </c>
      <c r="B70" s="10" t="s">
        <v>236</v>
      </c>
      <c r="C70" s="10" t="s">
        <v>237</v>
      </c>
      <c r="D70" s="11">
        <v>28.5</v>
      </c>
      <c r="E70" s="12">
        <v>38</v>
      </c>
      <c r="F70" s="13" t="s">
        <v>238</v>
      </c>
      <c r="G70" s="5">
        <f t="shared" si="2"/>
        <v>0.33333333333333331</v>
      </c>
      <c r="H70" s="10" t="s">
        <v>75</v>
      </c>
    </row>
    <row r="71" spans="1:8" x14ac:dyDescent="0.3">
      <c r="A71">
        <v>70</v>
      </c>
      <c r="B71" s="10" t="s">
        <v>239</v>
      </c>
      <c r="C71" s="10" t="s">
        <v>240</v>
      </c>
      <c r="D71" s="11">
        <v>39</v>
      </c>
      <c r="E71" s="12">
        <v>46.5</v>
      </c>
      <c r="F71" s="13" t="s">
        <v>241</v>
      </c>
      <c r="G71" s="5">
        <f t="shared" si="2"/>
        <v>0.19230769230769232</v>
      </c>
      <c r="H71" s="10" t="s">
        <v>58</v>
      </c>
    </row>
    <row r="72" spans="1:8" x14ac:dyDescent="0.3">
      <c r="A72">
        <v>71</v>
      </c>
      <c r="B72" s="10" t="s">
        <v>242</v>
      </c>
      <c r="C72" s="10" t="s">
        <v>243</v>
      </c>
      <c r="D72" s="11">
        <v>75</v>
      </c>
      <c r="E72" s="12">
        <v>76.5</v>
      </c>
      <c r="F72" s="13" t="s">
        <v>244</v>
      </c>
      <c r="G72" s="5">
        <f t="shared" si="2"/>
        <v>0.02</v>
      </c>
      <c r="H72" s="10" t="s">
        <v>245</v>
      </c>
    </row>
    <row r="73" spans="1:8" x14ac:dyDescent="0.3">
      <c r="A73">
        <v>72</v>
      </c>
      <c r="B73" s="10" t="s">
        <v>246</v>
      </c>
      <c r="C73" s="10" t="s">
        <v>247</v>
      </c>
      <c r="D73" s="11">
        <v>28</v>
      </c>
      <c r="E73" s="12">
        <v>30.69</v>
      </c>
      <c r="F73" s="13" t="s">
        <v>248</v>
      </c>
      <c r="G73" s="5">
        <f t="shared" si="2"/>
        <v>9.6071428571428613E-2</v>
      </c>
      <c r="H73" s="10" t="s">
        <v>27</v>
      </c>
    </row>
    <row r="74" spans="1:8" x14ac:dyDescent="0.3">
      <c r="A74">
        <v>73</v>
      </c>
      <c r="B74" s="10" t="s">
        <v>249</v>
      </c>
      <c r="C74" s="10" t="s">
        <v>250</v>
      </c>
      <c r="D74" s="11">
        <v>48</v>
      </c>
      <c r="E74" s="12">
        <v>60</v>
      </c>
      <c r="F74" s="13" t="s">
        <v>251</v>
      </c>
      <c r="G74" s="5">
        <f t="shared" si="2"/>
        <v>0.25</v>
      </c>
      <c r="H74" s="10" t="s">
        <v>226</v>
      </c>
    </row>
    <row r="75" spans="1:8" x14ac:dyDescent="0.3">
      <c r="A75">
        <v>74</v>
      </c>
      <c r="B75" s="10" t="s">
        <v>252</v>
      </c>
      <c r="C75" s="10" t="s">
        <v>253</v>
      </c>
      <c r="D75" s="11">
        <v>56</v>
      </c>
      <c r="E75" s="12">
        <v>70</v>
      </c>
      <c r="F75" s="13" t="s">
        <v>254</v>
      </c>
      <c r="G75" s="5">
        <f t="shared" si="2"/>
        <v>0.25</v>
      </c>
      <c r="H75" s="10" t="s">
        <v>135</v>
      </c>
    </row>
    <row r="76" spans="1:8" x14ac:dyDescent="0.3">
      <c r="A76">
        <v>75</v>
      </c>
      <c r="B76" s="10" t="s">
        <v>255</v>
      </c>
      <c r="C76" s="10" t="s">
        <v>256</v>
      </c>
      <c r="D76" s="11">
        <v>48</v>
      </c>
      <c r="E76" s="12">
        <v>54</v>
      </c>
      <c r="F76" s="13" t="s">
        <v>257</v>
      </c>
      <c r="G76" s="5">
        <f t="shared" si="2"/>
        <v>0.125</v>
      </c>
      <c r="H76" s="10" t="s">
        <v>26</v>
      </c>
    </row>
    <row r="77" spans="1:8" x14ac:dyDescent="0.3">
      <c r="A77">
        <v>76</v>
      </c>
      <c r="B77" s="10" t="s">
        <v>258</v>
      </c>
      <c r="C77" s="10" t="s">
        <v>259</v>
      </c>
      <c r="D77" s="11">
        <v>36</v>
      </c>
      <c r="E77" s="12">
        <v>37.799999999999997</v>
      </c>
      <c r="F77" s="13" t="s">
        <v>260</v>
      </c>
      <c r="G77" s="5">
        <f t="shared" si="2"/>
        <v>4.999999999999992E-2</v>
      </c>
      <c r="H77" s="10" t="s">
        <v>159</v>
      </c>
    </row>
    <row r="78" spans="1:8" x14ac:dyDescent="0.3">
      <c r="A78">
        <v>77</v>
      </c>
      <c r="B78" s="10" t="s">
        <v>261</v>
      </c>
      <c r="C78" s="10" t="s">
        <v>262</v>
      </c>
      <c r="D78" s="11">
        <v>50</v>
      </c>
      <c r="E78" s="12">
        <v>51</v>
      </c>
      <c r="F78" s="13" t="s">
        <v>263</v>
      </c>
      <c r="G78" s="5">
        <f t="shared" si="2"/>
        <v>0.02</v>
      </c>
      <c r="H78" s="10" t="s">
        <v>159</v>
      </c>
    </row>
    <row r="79" spans="1:8" x14ac:dyDescent="0.3">
      <c r="A79">
        <v>78</v>
      </c>
      <c r="B79" s="10" t="s">
        <v>264</v>
      </c>
      <c r="C79" s="10" t="s">
        <v>265</v>
      </c>
      <c r="D79" s="11">
        <v>30</v>
      </c>
      <c r="E79" s="12">
        <v>30.69</v>
      </c>
      <c r="F79" s="13" t="s">
        <v>266</v>
      </c>
      <c r="G79" s="5">
        <f t="shared" si="2"/>
        <v>2.3000000000000041E-2</v>
      </c>
      <c r="H79" s="10" t="s">
        <v>27</v>
      </c>
    </row>
    <row r="80" spans="1:8" x14ac:dyDescent="0.3">
      <c r="A80">
        <v>79</v>
      </c>
      <c r="B80" s="10" t="s">
        <v>267</v>
      </c>
      <c r="C80" s="10" t="s">
        <v>268</v>
      </c>
      <c r="D80" s="11">
        <v>34.76</v>
      </c>
      <c r="E80" s="12">
        <v>39</v>
      </c>
      <c r="F80" s="13" t="s">
        <v>269</v>
      </c>
      <c r="G80" s="5">
        <f t="shared" si="2"/>
        <v>0.12197928653624862</v>
      </c>
      <c r="H80" s="10" t="s">
        <v>270</v>
      </c>
    </row>
    <row r="81" spans="1:8" x14ac:dyDescent="0.3">
      <c r="A81">
        <v>80</v>
      </c>
      <c r="B81" s="10" t="s">
        <v>271</v>
      </c>
      <c r="C81" s="10" t="s">
        <v>272</v>
      </c>
      <c r="D81" s="11">
        <v>27.16</v>
      </c>
      <c r="E81" s="12">
        <v>29.12</v>
      </c>
      <c r="F81" s="13" t="s">
        <v>273</v>
      </c>
      <c r="G81" s="5">
        <f t="shared" si="2"/>
        <v>7.2164948453608282E-2</v>
      </c>
      <c r="H81" s="10" t="s">
        <v>75</v>
      </c>
    </row>
    <row r="82" spans="1:8" x14ac:dyDescent="0.3">
      <c r="A82">
        <v>81</v>
      </c>
      <c r="B82" s="10" t="s">
        <v>19</v>
      </c>
      <c r="C82" s="10" t="s">
        <v>274</v>
      </c>
      <c r="D82" s="11">
        <v>27.17</v>
      </c>
      <c r="E82" s="12">
        <v>29.12</v>
      </c>
      <c r="F82" s="13" t="s">
        <v>275</v>
      </c>
      <c r="G82" s="5">
        <f t="shared" si="2"/>
        <v>7.1770334928229637E-2</v>
      </c>
      <c r="H82" s="10" t="s">
        <v>75</v>
      </c>
    </row>
    <row r="83" spans="1:8" x14ac:dyDescent="0.3">
      <c r="A83">
        <v>82</v>
      </c>
      <c r="B83" s="10" t="s">
        <v>276</v>
      </c>
      <c r="C83" s="10" t="s">
        <v>277</v>
      </c>
      <c r="D83" s="11">
        <v>36</v>
      </c>
      <c r="E83" s="12">
        <v>37.58</v>
      </c>
      <c r="F83" s="13" t="s">
        <v>278</v>
      </c>
      <c r="G83" s="5">
        <f t="shared" si="2"/>
        <v>4.3888888888888838E-2</v>
      </c>
      <c r="H83" s="10" t="s">
        <v>159</v>
      </c>
    </row>
    <row r="84" spans="1:8" x14ac:dyDescent="0.3">
      <c r="A84">
        <v>83</v>
      </c>
      <c r="B84" s="10" t="s">
        <v>279</v>
      </c>
      <c r="C84" s="10" t="s">
        <v>234</v>
      </c>
      <c r="D84" s="11">
        <v>37</v>
      </c>
      <c r="E84" s="12">
        <v>45</v>
      </c>
      <c r="F84" s="13" t="s">
        <v>280</v>
      </c>
      <c r="G84" s="5">
        <f t="shared" si="2"/>
        <v>0.21621621621621623</v>
      </c>
      <c r="H84" s="10" t="s">
        <v>42</v>
      </c>
    </row>
    <row r="85" spans="1:8" x14ac:dyDescent="0.3">
      <c r="A85">
        <v>84</v>
      </c>
      <c r="B85" s="10" t="s">
        <v>281</v>
      </c>
      <c r="C85" s="10" t="s">
        <v>282</v>
      </c>
      <c r="D85" s="11">
        <v>28.09</v>
      </c>
      <c r="E85" s="12">
        <v>30.69</v>
      </c>
      <c r="F85" s="13" t="s">
        <v>283</v>
      </c>
      <c r="G85" s="5">
        <f t="shared" si="2"/>
        <v>9.2559629761481008E-2</v>
      </c>
      <c r="H85" s="10" t="s">
        <v>27</v>
      </c>
    </row>
    <row r="86" spans="1:8" x14ac:dyDescent="0.3">
      <c r="A86">
        <v>85</v>
      </c>
      <c r="B86" s="10" t="s">
        <v>284</v>
      </c>
      <c r="C86" s="10" t="s">
        <v>285</v>
      </c>
      <c r="D86" s="11">
        <v>28.09</v>
      </c>
      <c r="E86" s="12">
        <v>29.12</v>
      </c>
      <c r="F86" s="13" t="s">
        <v>286</v>
      </c>
      <c r="G86" s="5">
        <f t="shared" si="2"/>
        <v>3.6667853328586728E-2</v>
      </c>
      <c r="H86" s="10" t="s">
        <v>75</v>
      </c>
    </row>
  </sheetData>
  <phoneticPr fontId="4" type="noConversion"/>
  <hyperlinks>
    <hyperlink ref="N5" r:id="rId1" xr:uid="{ACA973CA-1FDD-4B09-8552-1EFF34C11203}"/>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CreatePDF">
                <anchor moveWithCells="1" sizeWithCells="1">
                  <from>
                    <xdr:col>8</xdr:col>
                    <xdr:colOff>541020</xdr:colOff>
                    <xdr:row>2</xdr:row>
                    <xdr:rowOff>7620</xdr:rowOff>
                  </from>
                  <to>
                    <xdr:col>11</xdr:col>
                    <xdr:colOff>30480</xdr:colOff>
                    <xdr:row>4</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20DDF-4C2B-4492-8253-49CD4C39B2E6}">
  <sheetPr codeName="Sheet3"/>
  <dimension ref="A1:B3"/>
  <sheetViews>
    <sheetView workbookViewId="0">
      <selection activeCell="E6" sqref="E6:E7"/>
    </sheetView>
  </sheetViews>
  <sheetFormatPr defaultRowHeight="14.4" x14ac:dyDescent="0.3"/>
  <sheetData>
    <row r="1" spans="1:2" x14ac:dyDescent="0.3">
      <c r="A1" t="s">
        <v>15</v>
      </c>
      <c r="B1" t="s">
        <v>16</v>
      </c>
    </row>
    <row r="3" spans="1:2" x14ac:dyDescent="0.3">
      <c r="A3" t="s">
        <v>17</v>
      </c>
      <c r="B3"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A5C30C83F1128428BD007909D19D4B6" ma:contentTypeVersion="18" ma:contentTypeDescription="Create a new document." ma:contentTypeScope="" ma:versionID="3dfa57b60915cb89e84d1dafa9aa4367">
  <xsd:schema xmlns:xsd="http://www.w3.org/2001/XMLSchema" xmlns:xs="http://www.w3.org/2001/XMLSchema" xmlns:p="http://schemas.microsoft.com/office/2006/metadata/properties" xmlns:ns2="c1d88682-5bb4-4b77-8381-a0bff46ba180" xmlns:ns3="a78743d5-adab-4900-84aa-f3107a003ac7" targetNamespace="http://schemas.microsoft.com/office/2006/metadata/properties" ma:root="true" ma:fieldsID="3cbd4ca0a4d8ef285ce91638ebe1934d" ns2:_="" ns3:_="">
    <xsd:import namespace="c1d88682-5bb4-4b77-8381-a0bff46ba180"/>
    <xsd:import namespace="a78743d5-adab-4900-84aa-f3107a003ac7"/>
    <xsd:element name="properties">
      <xsd:complexType>
        <xsd:sequence>
          <xsd:element name="documentManagement">
            <xsd:complexType>
              <xsd:all>
                <xsd:element ref="ns2:SharedWithDetail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1d88682-5bb4-4b77-8381-a0bff46ba180" elementFormDefault="qualified">
    <xsd:import namespace="http://schemas.microsoft.com/office/2006/documentManagement/types"/>
    <xsd:import namespace="http://schemas.microsoft.com/office/infopath/2007/PartnerControls"/>
    <xsd:element name="SharedWithDetails" ma:index="8" nillable="true" ma:displayName="Shared With Details" ma:internalName="SharedWithDetails" ma:readOnly="true">
      <xsd:simpleType>
        <xsd:restriction base="dms:Note">
          <xsd:maxLength value="255"/>
        </xsd:restriction>
      </xsd:simpleType>
    </xsd:element>
    <xsd:element name="TaxCatchAll" ma:index="11" nillable="true" ma:displayName="Taxonomy Catch All Column" ma:hidden="true" ma:list="{d9473355-2eb0-46f8-83d7-a4ff11c378a8}" ma:internalName="TaxCatchAll" ma:showField="CatchAllData" ma:web="c1d88682-5bb4-4b77-8381-a0bff46ba180">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78743d5-adab-4900-84aa-f3107a003ac7" elementFormDefault="qualified">
    <xsd:import namespace="http://schemas.microsoft.com/office/2006/documentManagement/types"/>
    <xsd:import namespace="http://schemas.microsoft.com/office/infopath/2007/PartnerControls"/>
    <xsd:element name="lcf76f155ced4ddcb4097134ff3c332f" ma:index="10" nillable="true" ma:taxonomy="true" ma:internalName="lcf76f155ced4ddcb4097134ff3c332f" ma:taxonomyFieldName="MediaServiceImageTags" ma:displayName="Image Tags" ma:readOnly="false" ma:fieldId="{5cf76f15-5ced-4ddc-b409-7134ff3c332f}" ma:taxonomyMulti="true" ma:sspId="4697bbf6-6419-4155-a298-65ef6421e5e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c1d88682-5bb4-4b77-8381-a0bff46ba180" xsi:nil="true"/>
    <lcf76f155ced4ddcb4097134ff3c332f xmlns="a78743d5-adab-4900-84aa-f3107a003ac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AE532E8-E377-4F98-990D-E1B4925A5D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1d88682-5bb4-4b77-8381-a0bff46ba180"/>
    <ds:schemaRef ds:uri="a78743d5-adab-4900-84aa-f3107a003a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D6BE188-E22A-4E63-9BBE-37D769715731}">
  <ds:schemaRefs>
    <ds:schemaRef ds:uri="http://schemas.microsoft.com/sharepoint/v3/contenttype/forms"/>
  </ds:schemaRefs>
</ds:datastoreItem>
</file>

<file path=customXml/itemProps3.xml><?xml version="1.0" encoding="utf-8"?>
<ds:datastoreItem xmlns:ds="http://schemas.openxmlformats.org/officeDocument/2006/customXml" ds:itemID="{6115106A-B38E-4A24-BB07-B817F0BF75A0}">
  <ds:schemaRefs>
    <ds:schemaRef ds:uri="http://schemas.microsoft.com/office/2006/metadata/properties"/>
    <ds:schemaRef ds:uri="http://schemas.microsoft.com/office/infopath/2007/PartnerControls"/>
    <ds:schemaRef ds:uri="c1d88682-5bb4-4b77-8381-a0bff46ba180"/>
    <ds:schemaRef ds:uri="a78743d5-adab-4900-84aa-f3107a003ac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Letter</vt:lpstr>
      <vt:lpstr>Data</vt:lpstr>
      <vt:lpstr>Other</vt:lpstr>
      <vt:lpstr>Letter!Print_Area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Tom Young</dc:creator>
  <cp:keywords/>
  <dc:description/>
  <cp:lastModifiedBy>Tom Young</cp:lastModifiedBy>
  <cp:revision/>
  <cp:lastPrinted>2025-07-11T00:58:00Z</cp:lastPrinted>
  <dcterms:created xsi:type="dcterms:W3CDTF">2022-06-27T04:04:43Z</dcterms:created>
  <dcterms:modified xsi:type="dcterms:W3CDTF">2025-07-11T00:58:36Z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0x0101003A5C30C83F1128428BD007909D19D4B6</vt:lpwstr>
  </property>
  <property fmtid="{D5CDD505-2E9C-101B-9397-08002B2CF9AE}" pid="3" name="Order">
    <vt:r8>99600</vt:r8>
  </property>
  <property fmtid="{D5CDD505-2E9C-101B-9397-08002B2CF9AE}" pid="4" name="GUID">
    <vt:lpwstr>9f5ac10c-80de-424c-a871-b8dad0e04a95</vt:lpwstr>
  </property>
  <property fmtid="{D5CDD505-2E9C-101B-9397-08002B2CF9AE}" pid="5" name="xd_Signature">
    <vt:bool>false</vt:bool>
  </property>
  <property fmtid="{D5CDD505-2E9C-101B-9397-08002B2CF9AE}" pid="6" name="xd_ProgID">
    <vt:lpwstr/>
  </property>
  <property fmtid="{D5CDD505-2E9C-101B-9397-08002B2CF9AE}" pid="7" name="_ExtendedDescription">
    <vt:lpwstr/>
  </property>
  <property fmtid="{D5CDD505-2E9C-101B-9397-08002B2CF9AE}" pid="8" name="TriggerFlowInfo">
    <vt:lpwstr/>
  </property>
  <property fmtid="{D5CDD505-2E9C-101B-9397-08002B2CF9AE}" pid="9" name="TemplateUrl">
    <vt:lpwstr/>
  </property>
  <property fmtid="{D5CDD505-2E9C-101B-9397-08002B2CF9AE}" pid="10" name="ComplianceAssetId">
    <vt:lpwstr/>
  </property>
  <property fmtid="{D5CDD505-2E9C-101B-9397-08002B2CF9AE}" pid="11" name="MediaServiceImageTags">
    <vt:lpwstr/>
  </property>
</Properties>
</file>