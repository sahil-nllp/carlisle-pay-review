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hil\Downloads\"/>
    </mc:Choice>
  </mc:AlternateContent>
  <xr:revisionPtr revIDLastSave="0" documentId="13_ncr:1_{9EA3E9F3-94B2-47EE-93F5-D2ED7F72EC2A}" xr6:coauthVersionLast="47" xr6:coauthVersionMax="47" xr10:uidLastSave="{00000000-0000-0000-0000-000000000000}"/>
  <bookViews>
    <workbookView xWindow="-110" yWindow="-110" windowWidth="25820" windowHeight="15500" activeTab="1" xr2:uid="{00000000-000D-0000-FFFF-FFFF00000000}"/>
  </bookViews>
  <sheets>
    <sheet name="Letter" sheetId="1" r:id="rId1"/>
    <sheet name="Data" sheetId="2" r:id="rId2"/>
    <sheet name="Other" sheetId="3" r:id="rId3"/>
  </sheets>
  <definedNames>
    <definedName name="ELIST">Data!$A$2:INDEX(Data!$A:$A,COUNTA(Data!$A:$A) )</definedName>
    <definedName name="EM">Data!$F$2:INDEX(Data!$F:$F,COUNTA(Data!$F:$F) )</definedName>
    <definedName name="_xlnm.Print_Area" localSheetId="0">Letter!$A$1:$A$34</definedName>
  </definedNames>
  <calcPr calcId="181029"/>
</workbook>
</file>

<file path=xl/calcChain.xml><?xml version="1.0" encoding="utf-8"?>
<calcChain xmlns="http://schemas.openxmlformats.org/spreadsheetml/2006/main">
  <c r="G2" i="2" l="1"/>
  <c r="A8" i="1"/>
  <c r="K4" i="1"/>
  <c r="A20" i="1" s="1"/>
  <c r="K3" i="1"/>
  <c r="K2" i="1"/>
  <c r="A18" i="1" s="1"/>
  <c r="K1" i="1"/>
  <c r="A12" i="1" s="1"/>
</calcChain>
</file>

<file path=xl/sharedStrings.xml><?xml version="1.0" encoding="utf-8"?>
<sst xmlns="http://schemas.openxmlformats.org/spreadsheetml/2006/main" count="28" uniqueCount="27">
  <si>
    <t>10296</t>
  </si>
  <si>
    <t>Via Email Correspondence</t>
  </si>
  <si>
    <t>Re: Increase in your Remuneration &amp; Change to your Award Level</t>
  </si>
  <si>
    <t>In recognition of changes in Award rates and as per Carlisle Pay &amp; Progression model for 2026-27 and your continued commitment to the Carlisle Health Group, this letter is to confirm the business will be increasing your remuneration.</t>
  </si>
  <si>
    <t>With this, we are asking for any feedback on the proposed Award level update to be sent to Carlisle HR at peopleandculture@carlislehealth.com.au by COB 28 days from letter date. If you do not have any feedback, your Award level will be updated.</t>
  </si>
  <si>
    <t>All other terms and conditions governing your employment continue to apply as per your current employment contract.</t>
  </si>
  <si>
    <t>On behalf of the Carlisle Health Management Team and Board, we would like to thank you for your ongoing contribution.
Yours Sincerely</t>
  </si>
  <si>
    <t>Shayne Troter</t>
  </si>
  <si>
    <t>General Manager, Operations</t>
  </si>
  <si>
    <t>Carlisle Health</t>
  </si>
  <si>
    <t>#</t>
  </si>
  <si>
    <t>First Name</t>
  </si>
  <si>
    <t>Surname</t>
  </si>
  <si>
    <t>Old Pay-Rate</t>
  </si>
  <si>
    <t>New Pay-Rate</t>
  </si>
  <si>
    <t>Email</t>
  </si>
  <si>
    <t>% Increase</t>
  </si>
  <si>
    <t>Award Level</t>
  </si>
  <si>
    <t>Path:</t>
  </si>
  <si>
    <t>HPSS SS L7</t>
  </si>
  <si>
    <t>Email From:</t>
  </si>
  <si>
    <t>peopleandculture@carlislehealth.com.au</t>
  </si>
  <si>
    <t>Subject:</t>
  </si>
  <si>
    <t>Increase in your Remuneration</t>
  </si>
  <si>
    <t>Contents:</t>
  </si>
  <si>
    <t>Please find attached correspondence regarding an increase in your remuneration</t>
  </si>
  <si>
    <t>C:\Projects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</si>
</sst>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65" fontId="0" fillId="0" borderId="0" xfId="0" applyNumberFormat="1"/>
    <xf numFmtId="165" fontId="2" fillId="0" borderId="0" xfId="0" applyNumberFormat="1" applyFont="1"/>
    <xf numFmtId="0" fontId="3" fillId="0" borderId="0" xfId="0" applyFont="1" applyAlignment="1">
      <alignment wrapText="1"/>
    </xf>
  </cellXfs>
  <cellStyles count="2">
    <cellStyle name="Normal" xfId="0" builtinId="0"/>
    <cellStyle name="Normal 3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3971926</xdr:colOff>
      <xdr:row>0</xdr:row>
      <xdr:rowOff>95250</xdr:rowOff>
    </xdr:from>
    <xdr:to>
      <xdr:col>0</xdr:col>
      <xdr:colOff>5913121</xdr:colOff>
      <xdr:row>3</xdr:row>
      <xdr:rowOff>41910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71926" y="95250"/>
          <a:ext cx="1943100" cy="51816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450850</xdr:colOff>
          <xdr:row>2</xdr:row>
          <xdr:rowOff>6350</xdr:rowOff>
        </xdr:from>
        <xdr:to>
          <xdr:col>11</xdr:col>
          <xdr:colOff>25400</xdr:colOff>
          <xdr:row>4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CAACBEA-9158-E0D6-B90A-1DB1153DD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4"/>
  <sheetViews>
    <sheetView zoomScaleNormal="100" workbookViewId="0">
      <selection activeCell="J1" sqref="J1"/>
    </sheetView>
  </sheetViews>
  <sheetFormatPr defaultRowHeight="14.5" x14ac:dyDescent="0.35"/>
  <cols>
    <col min="1" max="1" width="91.453125" customWidth="1"/>
    <col min="11" max="11" width="12.453125" bestFit="1" customWidth="1"/>
  </cols>
  <sheetData>
    <row r="1" spans="1:11" x14ac:dyDescent="0.35">
      <c r="J1" t="s">
        <v>0</v>
      </c>
      <c r="K1" t="str">
        <f>VLOOKUP(J1,Data!A:F,2,FALSE)&amp; " "&amp;VLOOKUP(J1,Data!A:F,3,FALSE)</f>
        <v xml:space="preserve"> </v>
      </c>
    </row>
    <row r="2" spans="1:11" x14ac:dyDescent="0.35">
      <c r="K2">
        <f>VLOOKUP(J1,Data!A:F,4,FALSE)</f>
        <v>30.69</v>
      </c>
    </row>
    <row r="3" spans="1:11" x14ac:dyDescent="0.35">
      <c r="K3">
        <f>VLOOKUP(J1,Data!A:F,5,FALSE)</f>
        <v>33.14</v>
      </c>
    </row>
    <row r="4" spans="1:11" x14ac:dyDescent="0.35">
      <c r="K4" t="str">
        <f>VLOOKUP(J1,Data!A:H,8,FALSE)</f>
        <v>HPSS SS L7</v>
      </c>
    </row>
    <row r="8" spans="1:11" x14ac:dyDescent="0.35">
      <c r="A8" s="4">
        <f ca="1">TODAY()</f>
        <v>46226</v>
      </c>
    </row>
    <row r="10" spans="1:11" x14ac:dyDescent="0.35">
      <c r="A10" t="s">
        <v>1</v>
      </c>
    </row>
    <row r="12" spans="1:11" x14ac:dyDescent="0.35">
      <c r="A12" t="str">
        <f>"Dear "&amp;K1</f>
        <v xml:space="preserve">Dear  </v>
      </c>
    </row>
    <row r="14" spans="1:11" x14ac:dyDescent="0.35">
      <c r="A14" t="s">
        <v>2</v>
      </c>
    </row>
    <row r="16" spans="1:11" ht="43.25" customHeight="1" x14ac:dyDescent="0.35">
      <c r="A16" s="3" t="s">
        <v>3</v>
      </c>
    </row>
    <row r="18" spans="1:1" ht="43.25" customHeight="1" x14ac:dyDescent="0.35">
      <c r="A18" s="3" t="str">
        <f>"Your Hourly Rate per your contract will be increased from "&amp;TEXT(K2,"$#,###.00")&amp;" per hour to "&amp;TEXT(K3,"$#,###.00")&amp;" per hour (exclusive of superannuation). This change will be reflected in your pay from 13/07/2026, i.e. the first full pay period of the new financial year."</f>
        <v>Your Hourly Rate per your contract will be increased from $30.69 per hour to $33.14 per hour (exclusive of superannuation). This change will be reflected in your pay from 13/07/2026, i.e. the first full pay period of the new financial year.</v>
      </c>
    </row>
    <row r="20" spans="1:1" ht="43.25" customHeight="1" x14ac:dyDescent="0.35">
      <c r="A20" s="3" t="str">
        <f>"We have simultaneously undertaken a review of all Award levels across the business to ensure that the expectations of your role aligned to the most appropriate Award level. As a result of this process Carlisle proposes to align your Award level to: "&amp;K4&amp;""</f>
        <v>We have simultaneously undertaken a review of all Award levels across the business to ensure that the expectations of your role aligned to the most appropriate Award level. As a result of this process Carlisle proposes to align your Award level to: HPSS SS L7</v>
      </c>
    </row>
    <row r="22" spans="1:1" ht="43.25" customHeight="1" x14ac:dyDescent="0.35">
      <c r="A22" s="7" t="s">
        <v>4</v>
      </c>
    </row>
    <row r="24" spans="1:1" ht="28.75" customHeight="1" x14ac:dyDescent="0.35">
      <c r="A24" s="3"/>
    </row>
    <row r="26" spans="1:1" ht="28.75" customHeight="1" x14ac:dyDescent="0.35">
      <c r="A26" s="3" t="s">
        <v>5</v>
      </c>
    </row>
    <row r="28" spans="1:1" ht="57.65" customHeight="1" x14ac:dyDescent="0.35">
      <c r="A28" s="3" t="s">
        <v>6</v>
      </c>
    </row>
    <row r="32" spans="1:1" x14ac:dyDescent="0.35">
      <c r="A32" t="s">
        <v>7</v>
      </c>
    </row>
    <row r="33" spans="1:1" x14ac:dyDescent="0.35">
      <c r="A33" t="s">
        <v>8</v>
      </c>
    </row>
    <row r="34" spans="1:1" x14ac:dyDescent="0.35">
      <c r="A34" t="s">
        <v>9</v>
      </c>
    </row>
  </sheetData>
  <dataValidations count="1">
    <dataValidation type="list" allowBlank="1" showInputMessage="1" showErrorMessage="1" sqref="J1" xr:uid="{00000000-0002-0000-0000-000000000000}">
      <formula1>ELIST</formula1>
    </dataValidation>
  </dataValidation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tabSelected="1" workbookViewId="0">
      <selection activeCell="I10" sqref="I10"/>
    </sheetView>
  </sheetViews>
  <sheetFormatPr defaultRowHeight="14.5" x14ac:dyDescent="0.35"/>
  <cols>
    <col min="2" max="2" width="10" bestFit="1" customWidth="1"/>
    <col min="3" max="3" width="12" bestFit="1" customWidth="1"/>
    <col min="4" max="5" width="12.90625" style="5" bestFit="1" customWidth="1"/>
    <col min="6" max="6" width="50.6328125" customWidth="1"/>
    <col min="7" max="7" width="10.08984375" bestFit="1" customWidth="1"/>
  </cols>
  <sheetData>
    <row r="1" spans="1:14" x14ac:dyDescent="0.35">
      <c r="A1" t="s">
        <v>10</v>
      </c>
      <c r="B1" s="2" t="s">
        <v>11</v>
      </c>
      <c r="C1" s="2" t="s">
        <v>12</v>
      </c>
      <c r="D1" s="6" t="s">
        <v>13</v>
      </c>
      <c r="E1" s="6" t="s">
        <v>14</v>
      </c>
      <c r="F1" s="1" t="s">
        <v>15</v>
      </c>
      <c r="G1" s="1" t="s">
        <v>16</v>
      </c>
      <c r="H1" s="1" t="s">
        <v>17</v>
      </c>
      <c r="J1" t="s">
        <v>18</v>
      </c>
      <c r="K1" t="s">
        <v>26</v>
      </c>
    </row>
    <row r="2" spans="1:14" x14ac:dyDescent="0.35">
      <c r="A2" t="s">
        <v>0</v>
      </c>
      <c r="D2" s="5">
        <v>30.69</v>
      </c>
      <c r="E2" s="5">
        <v>33.14</v>
      </c>
      <c r="G2">
        <f>(E2-D2)/D2</f>
        <v>7.9830563701531423E-2</v>
      </c>
      <c r="H2" t="s">
        <v>19</v>
      </c>
    </row>
    <row r="5" spans="1:14" x14ac:dyDescent="0.35">
      <c r="M5" t="s">
        <v>20</v>
      </c>
      <c r="N5" t="s">
        <v>21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PDF">
                <anchor moveWithCells="1" sizeWithCells="1">
                  <from>
                    <xdr:col>8</xdr:col>
                    <xdr:colOff>450850</xdr:colOff>
                    <xdr:row>2</xdr:row>
                    <xdr:rowOff>6350</xdr:rowOff>
                  </from>
                  <to>
                    <xdr:col>11</xdr:col>
                    <xdr:colOff>25400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"/>
  <sheetViews>
    <sheetView workbookViewId="0">
      <selection activeCell="E6" sqref="E6:E7"/>
    </sheetView>
  </sheetViews>
  <sheetFormatPr defaultRowHeight="14.5" x14ac:dyDescent="0.35"/>
  <sheetData>
    <row r="1" spans="1:2" x14ac:dyDescent="0.35">
      <c r="A1" t="s">
        <v>22</v>
      </c>
      <c r="B1" t="s">
        <v>23</v>
      </c>
    </row>
    <row r="3" spans="1:2" x14ac:dyDescent="0.35">
      <c r="A3" t="s">
        <v>24</v>
      </c>
      <c r="B3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Letter</vt:lpstr>
      <vt:lpstr>Data</vt:lpstr>
      <vt:lpstr>Other</vt:lpstr>
      <vt:lpstr>Letter!Print_Area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Young</dc:creator>
  <cp:lastModifiedBy>sahil kashyap</cp:lastModifiedBy>
  <cp:lastPrinted>2025-07-11T00:58:00Z</cp:lastPrinted>
  <dcterms:created xsi:type="dcterms:W3CDTF">2022-06-27T04:04:43Z</dcterms:created>
  <dcterms:modified xsi:type="dcterms:W3CDTF">2026-07-23T17:25:09Z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0x0101003A5C30C83F1128428BD007909D19D4B6</vt:lpwstr>
  </property>
  <property fmtid="{D5CDD505-2E9C-101B-9397-08002B2CF9AE}" pid="3" name="Order">
    <vt:r8>99600</vt:r8>
  </property>
  <property fmtid="{D5CDD505-2E9C-101B-9397-08002B2CF9AE}" pid="4" name="GUID">
    <vt:lpwstr>9f5ac10c-80de-424c-a871-b8dad0e04a95</vt:lpwstr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TemplateUrl">
    <vt:lpwstr/>
  </property>
  <property fmtid="{D5CDD505-2E9C-101B-9397-08002B2CF9AE}" pid="10" name="ComplianceAssetId">
    <vt:lpwstr/>
  </property>
  <property fmtid="{D5CDD505-2E9C-101B-9397-08002B2CF9AE}" pid="11" name="MediaServiceImageTags">
    <vt:lpwstr/>
  </property>
</Properties>
</file>