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undyrad.sharepoint.com/sites/Carlisle/Finance/C Health Finance/Payroll/6. Annual Pay Award/1 July 25/"/>
    </mc:Choice>
  </mc:AlternateContent>
  <xr:revisionPtr revIDLastSave="137" documentId="13_ncr:1_{10A74D69-C8E5-496C-8FBF-6752F0FA54CD}" xr6:coauthVersionLast="47" xr6:coauthVersionMax="47" xr10:uidLastSave="{55253807-5AC6-44C1-8A27-3F6242F68B80}"/>
  <bookViews>
    <workbookView xWindow="12504" yWindow="14292" windowWidth="23256" windowHeight="13896" xr2:uid="{0C89EE2A-B528-43E5-9C8A-6E255E5648F6}"/>
  </bookViews>
  <sheets>
    <sheet name="Letter" sheetId="2" r:id="rId1"/>
    <sheet name="Data" sheetId="1" r:id="rId2"/>
    <sheet name="Other" sheetId="3" r:id="rId3"/>
  </sheets>
  <definedNames>
    <definedName name="ELIST">Data!$A$2:INDEX(Data!$A:$A,COUNTA(Data!$A:$A) )</definedName>
    <definedName name="EM">Data!$F$2:INDEX(Data!$F:$F,COUNTA(Data!$F:$F) )</definedName>
    <definedName name="_xlnm.Print_Area" localSheetId="0">Letter!$A$1:$A$34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" i="2" l="1"/>
  <c r="K4" i="2"/>
  <c r="A16" i="2" s="1"/>
  <c r="K1" i="2" l="1"/>
  <c r="K3" i="2"/>
  <c r="K2" i="2"/>
  <c r="A12" i="2" l="1"/>
</calcChain>
</file>

<file path=xl/sharedStrings.xml><?xml version="1.0" encoding="utf-8"?>
<sst xmlns="http://schemas.openxmlformats.org/spreadsheetml/2006/main" count="199" uniqueCount="168">
  <si>
    <t>First Name</t>
  </si>
  <si>
    <t>Email</t>
  </si>
  <si>
    <t>Old Pay-Rate</t>
  </si>
  <si>
    <t>New Pay-Rate</t>
  </si>
  <si>
    <t>Surname</t>
  </si>
  <si>
    <t>Subject:</t>
  </si>
  <si>
    <t>Contents:</t>
  </si>
  <si>
    <t>Via Email Correspondence</t>
  </si>
  <si>
    <t>All other terms and conditions governing your employment continue to apply as per your current employment contract.</t>
  </si>
  <si>
    <t>Carlisle Health</t>
  </si>
  <si>
    <t>Path:</t>
  </si>
  <si>
    <t>#</t>
  </si>
  <si>
    <t>Shayne Troter</t>
  </si>
  <si>
    <t>General Manager, Operations</t>
  </si>
  <si>
    <t>Award Level</t>
  </si>
  <si>
    <t>% Increase</t>
  </si>
  <si>
    <t>Re: Realignment of your Award level</t>
  </si>
  <si>
    <t>If you do not have any feedback, your Award level will be updated to the above, effective 26th July 2024</t>
  </si>
  <si>
    <t>Realignment of your Award level</t>
  </si>
  <si>
    <t>Please find attached correspondence regarding realignment of your Award level</t>
  </si>
  <si>
    <r>
      <t xml:space="preserve">As part of this proposed change, we are asking for any feedback on this to be sent to Carlisle HR at peopleandculture@carlislehealth.com.au by COB 28 July 2025 ('the consultation period'). Please take note that the proposed alignment of your Award level does </t>
    </r>
    <r>
      <rPr>
        <u/>
        <sz val="11"/>
        <rFont val="Calibri"/>
        <family val="2"/>
      </rPr>
      <t>not</t>
    </r>
    <r>
      <rPr>
        <sz val="11"/>
        <rFont val="Calibri"/>
        <family val="2"/>
      </rPr>
      <t xml:space="preserve"> impact your current payrate.</t>
    </r>
  </si>
  <si>
    <t>If you are unclear on anything contained in this correspondence, please contact HR on peopleandculture@carlislehealth.com.au.</t>
  </si>
  <si>
    <t>Yours Sincerely</t>
  </si>
  <si>
    <t>Email From:</t>
  </si>
  <si>
    <t>peopleandculture@carlislehealth.com.au</t>
  </si>
  <si>
    <t>Teresa</t>
  </si>
  <si>
    <t>Higgins</t>
  </si>
  <si>
    <t>teresa.higgins@hotmail.com</t>
  </si>
  <si>
    <t>HPSS SS L6</t>
  </si>
  <si>
    <t>Sharon</t>
  </si>
  <si>
    <t>Miles</t>
  </si>
  <si>
    <t>2804smiles@gmail.com</t>
  </si>
  <si>
    <t>HPSS HP L3 PP2</t>
  </si>
  <si>
    <t>Inneke</t>
  </si>
  <si>
    <t>Brown</t>
  </si>
  <si>
    <t>inneke_brown@hotmail.com</t>
  </si>
  <si>
    <t>HPSS HP L2 PP4</t>
  </si>
  <si>
    <t>Sherona</t>
  </si>
  <si>
    <t>Goodrum</t>
  </si>
  <si>
    <t>sheronagoodrum@hotmail.com</t>
  </si>
  <si>
    <t>Nay</t>
  </si>
  <si>
    <t>Lim</t>
  </si>
  <si>
    <t>katielim197575@gmail.com</t>
  </si>
  <si>
    <t>Madeline</t>
  </si>
  <si>
    <t>Patterson</t>
  </si>
  <si>
    <t>madelinekubus72@hotmail.com</t>
  </si>
  <si>
    <t>HPSS SS L5</t>
  </si>
  <si>
    <t>Danielle</t>
  </si>
  <si>
    <t>Lorraway</t>
  </si>
  <si>
    <t>danielleaspinall@hotmail.com</t>
  </si>
  <si>
    <t>HPSS HP L3 PP5</t>
  </si>
  <si>
    <t>Nicholas</t>
  </si>
  <si>
    <t>Egstorf</t>
  </si>
  <si>
    <t>n.egstorf@gmail.com</t>
  </si>
  <si>
    <t>Shane</t>
  </si>
  <si>
    <t>Thomas</t>
  </si>
  <si>
    <t>shanethomas08@gmail.com</t>
  </si>
  <si>
    <t>HPSS HP L2 PP2</t>
  </si>
  <si>
    <t>Tegan</t>
  </si>
  <si>
    <t>Breslin</t>
  </si>
  <si>
    <t>teganlb@hotmail.com</t>
  </si>
  <si>
    <t>Gary</t>
  </si>
  <si>
    <t>Burns</t>
  </si>
  <si>
    <t>gwb0547@gmail.com</t>
  </si>
  <si>
    <t>Lucille</t>
  </si>
  <si>
    <t>Christie</t>
  </si>
  <si>
    <t>luckiwi14@outlook.com</t>
  </si>
  <si>
    <t>Irene</t>
  </si>
  <si>
    <t>Fornasier</t>
  </si>
  <si>
    <t>imov69@hotmail.com</t>
  </si>
  <si>
    <t>Martin</t>
  </si>
  <si>
    <t>Kaushal</t>
  </si>
  <si>
    <t>martinkaushal@hotmail.com</t>
  </si>
  <si>
    <t>Laurel</t>
  </si>
  <si>
    <t>Setco</t>
  </si>
  <si>
    <t>notes2laurel@gmail.com</t>
  </si>
  <si>
    <t>Tania</t>
  </si>
  <si>
    <t>Watchorn</t>
  </si>
  <si>
    <t>tania.watchorn@optusnet.com.au</t>
  </si>
  <si>
    <t>HPSS HP L4 PP1</t>
  </si>
  <si>
    <t>Sarah</t>
  </si>
  <si>
    <t>Yum</t>
  </si>
  <si>
    <t>sarah.yum888@gmail.com</t>
  </si>
  <si>
    <t>Lilijana</t>
  </si>
  <si>
    <t>Mosarevski</t>
  </si>
  <si>
    <t>lilimosarevski@gmail.com</t>
  </si>
  <si>
    <t>Giuseppe</t>
  </si>
  <si>
    <t>Masi</t>
  </si>
  <si>
    <t>giusmasi@hotmail.com</t>
  </si>
  <si>
    <t>Tyne</t>
  </si>
  <si>
    <t>Goody</t>
  </si>
  <si>
    <t>tynegoody@gmail.com</t>
  </si>
  <si>
    <t>Brittany</t>
  </si>
  <si>
    <t>Manietta</t>
  </si>
  <si>
    <t>britty.manietta93@gmail.com</t>
  </si>
  <si>
    <t>Kristy</t>
  </si>
  <si>
    <t>Irvine</t>
  </si>
  <si>
    <t>kristyirvine@hotmail.com</t>
  </si>
  <si>
    <t>Chloe</t>
  </si>
  <si>
    <t>Gundry</t>
  </si>
  <si>
    <t>chloegundry2@gmail.com</t>
  </si>
  <si>
    <t>Addyson</t>
  </si>
  <si>
    <t>Walsh</t>
  </si>
  <si>
    <t>addysonwalsh@outlook.com</t>
  </si>
  <si>
    <t>Allison</t>
  </si>
  <si>
    <t>van der Kooi</t>
  </si>
  <si>
    <t>allison.vanderkooi@bigpond.com</t>
  </si>
  <si>
    <t>Darcie</t>
  </si>
  <si>
    <t>Smith</t>
  </si>
  <si>
    <t>Darciesmith11@gmail.com</t>
  </si>
  <si>
    <t>HPSS HP L2 PP3</t>
  </si>
  <si>
    <t>Claire</t>
  </si>
  <si>
    <t>Taylor</t>
  </si>
  <si>
    <t>cjt123@bigpond.net.au</t>
  </si>
  <si>
    <t>Katrina</t>
  </si>
  <si>
    <t>Wong</t>
  </si>
  <si>
    <t>katrina.wong33@gmail.com</t>
  </si>
  <si>
    <t>Michelle</t>
  </si>
  <si>
    <t>Rosier</t>
  </si>
  <si>
    <t>michelle.rosier@yahoo.com.au</t>
  </si>
  <si>
    <t>Sandra</t>
  </si>
  <si>
    <t>Mascarenas</t>
  </si>
  <si>
    <t>sandra.mascarenas77@gmail.com</t>
  </si>
  <si>
    <t>Cindy</t>
  </si>
  <si>
    <t>Nguyen</t>
  </si>
  <si>
    <t>cindynguyen444@gmail.com</t>
  </si>
  <si>
    <t>HPSS HP L1 PP3</t>
  </si>
  <si>
    <t>Ellen</t>
  </si>
  <si>
    <t>Chen</t>
  </si>
  <si>
    <t>eln.c@hotmail.com</t>
  </si>
  <si>
    <t>Mackenzie</t>
  </si>
  <si>
    <t>Dalziel</t>
  </si>
  <si>
    <t>mackensie.dalziel@gmail.com</t>
  </si>
  <si>
    <t>Mariama</t>
  </si>
  <si>
    <t>Bah</t>
  </si>
  <si>
    <t>mariamakbah.7@gmail.com</t>
  </si>
  <si>
    <t>Scarlet</t>
  </si>
  <si>
    <t>Richards</t>
  </si>
  <si>
    <t>scarletrichards90@gmail.com</t>
  </si>
  <si>
    <t>Samantha</t>
  </si>
  <si>
    <t>Hoffensetz</t>
  </si>
  <si>
    <t>sam_parker88@outlook.com</t>
  </si>
  <si>
    <t>Stephanie</t>
  </si>
  <si>
    <t>Lopez</t>
  </si>
  <si>
    <t>stephglopez05@gmail.com</t>
  </si>
  <si>
    <t>HPSS SS L4</t>
  </si>
  <si>
    <t>Talitha</t>
  </si>
  <si>
    <t>Holmes</t>
  </si>
  <si>
    <t>talithaholmes0405@hotmail.com</t>
  </si>
  <si>
    <t>Rachel</t>
  </si>
  <si>
    <t>Kelly</t>
  </si>
  <si>
    <t>rek88113@hotmail.com</t>
  </si>
  <si>
    <t>HPSS HP L2 PP1</t>
  </si>
  <si>
    <t>Shanice</t>
  </si>
  <si>
    <t>Dixon</t>
  </si>
  <si>
    <t>shanice.dixon190@gmail.com</t>
  </si>
  <si>
    <t>Nabeelah</t>
  </si>
  <si>
    <t>Bhuiyan</t>
  </si>
  <si>
    <t>bhuiyannabeelah@gmail.com</t>
  </si>
  <si>
    <t>HPSS HP L1 PP4</t>
  </si>
  <si>
    <t>The rate of superannuation will increase in line with national requirements from 11.5% for the 2024-25 financial year to 12.0% for the 2025-26 financial year. This applies to all employees.</t>
  </si>
  <si>
    <t>C:\Users\TomYoung\Carlisle Health\Carlisle - Finance\C Health Finance\Payroll\6. Annual Pay Award\1 July 25\Letter C</t>
  </si>
  <si>
    <t>Rodney</t>
  </si>
  <si>
    <t>Wheeler</t>
  </si>
  <si>
    <t>rodneywheeler@bigpond.com.au</t>
  </si>
  <si>
    <t>Khoa</t>
  </si>
  <si>
    <t>Vo</t>
  </si>
  <si>
    <t>cubay04@yahoo.com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</si>
</sst>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%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9"/>
      <color indexed="8"/>
      <name val="Arial"/>
      <family val="2"/>
    </font>
    <font>
      <sz val="11"/>
      <name val="Calibri"/>
      <family val="2"/>
    </font>
    <font>
      <u/>
      <sz val="11"/>
      <name val="Calibri"/>
      <family val="2"/>
    </font>
    <font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9" fillId="0" borderId="0"/>
    <xf numFmtId="0" fontId="10" fillId="0" borderId="0" applyNumberForma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65" fontId="0" fillId="0" borderId="0" xfId="1" applyNumberFormat="1" applyFont="1"/>
    <xf numFmtId="0" fontId="6" fillId="0" borderId="0" xfId="0" applyFont="1"/>
    <xf numFmtId="164" fontId="0" fillId="0" borderId="0" xfId="0" applyNumberFormat="1"/>
    <xf numFmtId="164" fontId="6" fillId="0" borderId="0" xfId="0" applyNumberFormat="1" applyFont="1"/>
    <xf numFmtId="164" fontId="2" fillId="0" borderId="0" xfId="0" applyNumberFormat="1" applyFont="1"/>
    <xf numFmtId="0" fontId="7" fillId="0" borderId="0" xfId="0" applyFont="1" applyAlignment="1">
      <alignment wrapText="1"/>
    </xf>
    <xf numFmtId="0" fontId="9" fillId="0" borderId="0" xfId="2"/>
    <xf numFmtId="0" fontId="10" fillId="2" borderId="0" xfId="3" applyFill="1"/>
    <xf numFmtId="0" fontId="11" fillId="0" borderId="0" xfId="0" applyFont="1"/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</cellXfs>
  <cellStyles count="4">
    <cellStyle name="Hyperlink" xfId="3" builtinId="8"/>
    <cellStyle name="Normal" xfId="0" builtinId="0"/>
    <cellStyle name="Normal 3" xfId="2" xr:uid="{9E24482F-E02C-465E-950E-4D4982EF6504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4324350</xdr:colOff>
      <xdr:row>0</xdr:row>
      <xdr:rowOff>0</xdr:rowOff>
    </xdr:from>
    <xdr:to>
      <xdr:col>0</xdr:col>
      <xdr:colOff>6019800</xdr:colOff>
      <xdr:row>2</xdr:row>
      <xdr:rowOff>121285</xdr:rowOff>
    </xdr:to>
    <xdr:pic>
      <xdr:nvPicPr>
        <xdr:cNvPr id="2" name="Picture 1" descr="A picture containing text, clipart, tableware&#10;&#10;Description automatically generate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4350" y="0"/>
          <a:ext cx="1695450" cy="50419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28</xdr:row>
      <xdr:rowOff>66675</xdr:rowOff>
    </xdr:from>
    <xdr:to>
      <xdr:col>0</xdr:col>
      <xdr:colOff>1400763</xdr:colOff>
      <xdr:row>31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7048500"/>
          <a:ext cx="1351233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541020</xdr:colOff>
          <xdr:row>2</xdr:row>
          <xdr:rowOff>7620</xdr:rowOff>
        </xdr:from>
        <xdr:to>
          <xdr:col>11</xdr:col>
          <xdr:colOff>30480</xdr:colOff>
          <xdr:row>4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peopleandculture@carlislehealth.com.au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4D37B-8B32-4151-94A9-AD7D9F83B3D5}">
  <sheetPr codeName="Sheet1"/>
  <dimension ref="A1:K34"/>
  <sheetViews>
    <sheetView tabSelected="1" zoomScaleNormal="100" workbookViewId="0">
      <selection activeCell="A8" sqref="A8"/>
    </sheetView>
  </sheetViews>
  <sheetFormatPr defaultRowHeight="14.4" x14ac:dyDescent="0.3"/>
  <cols>
    <col min="1" max="1" width="91.44140625" customWidth="1"/>
    <col min="11" max="11" width="12.44140625" bestFit="1" customWidth="1"/>
  </cols>
  <sheetData>
    <row r="1" spans="1:11" x14ac:dyDescent="0.3">
      <c r="J1">
        <v>43</v>
      </c>
      <c r="K1" t="str">
        <f>VLOOKUP(J1,Data!A:F,2,FALSE)&amp; " "&amp;VLOOKUP(J1,Data!A:F,3,FALSE)</f>
        <v>Khoa Vo</v>
      </c>
    </row>
    <row r="2" spans="1:11" x14ac:dyDescent="0.3">
      <c r="K2">
        <f>VLOOKUP(J1,Data!A:F,4,FALSE)</f>
        <v>0</v>
      </c>
    </row>
    <row r="3" spans="1:11" x14ac:dyDescent="0.3">
      <c r="K3">
        <f>VLOOKUP(J1,Data!A:F,5,FALSE)</f>
        <v>0</v>
      </c>
    </row>
    <row r="4" spans="1:11" x14ac:dyDescent="0.3">
      <c r="K4" t="str">
        <f>VLOOKUP(J1,Data!A:H,8,FALSE)</f>
        <v>HPSS HP L2 PP4</v>
      </c>
    </row>
    <row r="8" spans="1:11" x14ac:dyDescent="0.3">
      <c r="A8" s="4">
        <f ca="1">TODAY()</f>
        <v>45849</v>
      </c>
    </row>
    <row r="10" spans="1:11" x14ac:dyDescent="0.3">
      <c r="A10" t="s">
        <v>7</v>
      </c>
    </row>
    <row r="12" spans="1:11" x14ac:dyDescent="0.3">
      <c r="A12" t="str">
        <f>"Dear "&amp;K1</f>
        <v>Dear Khoa Vo</v>
      </c>
    </row>
    <row r="14" spans="1:11" x14ac:dyDescent="0.3">
      <c r="A14" t="s">
        <v>16</v>
      </c>
    </row>
    <row r="16" spans="1:11" ht="43.2" x14ac:dyDescent="0.3">
      <c r="A16" s="3" t="str">
        <f>"Carlisle has conducted a review of all Award levels across the business to ensure that the expectations of your role aligned to the most appropriate Award level. As a result of this process Carlisle proposes to align your Award level to: "&amp;TEXT(K4,"###")&amp;""</f>
        <v>Carlisle has conducted a review of all Award levels across the business to ensure that the expectations of your role aligned to the most appropriate Award level. As a result of this process Carlisle proposes to align your Award level to: HPSS HP L2 PP4</v>
      </c>
    </row>
    <row r="18" spans="1:1" ht="43.2" x14ac:dyDescent="0.3">
      <c r="A18" s="10" t="s">
        <v>20</v>
      </c>
    </row>
    <row r="20" spans="1:1" x14ac:dyDescent="0.3">
      <c r="A20" s="3" t="s">
        <v>17</v>
      </c>
    </row>
    <row r="22" spans="1:1" ht="28.8" x14ac:dyDescent="0.3">
      <c r="A22" s="3" t="s">
        <v>160</v>
      </c>
    </row>
    <row r="24" spans="1:1" ht="28.8" x14ac:dyDescent="0.3">
      <c r="A24" s="3" t="s">
        <v>8</v>
      </c>
    </row>
    <row r="26" spans="1:1" ht="28.8" x14ac:dyDescent="0.3">
      <c r="A26" s="3" t="s">
        <v>21</v>
      </c>
    </row>
    <row r="28" spans="1:1" x14ac:dyDescent="0.3">
      <c r="A28" s="3" t="s">
        <v>22</v>
      </c>
    </row>
    <row r="32" spans="1:1" x14ac:dyDescent="0.3">
      <c r="A32" t="s">
        <v>12</v>
      </c>
    </row>
    <row r="33" spans="1:1" x14ac:dyDescent="0.3">
      <c r="A33" t="s">
        <v>13</v>
      </c>
    </row>
    <row r="34" spans="1:1" x14ac:dyDescent="0.3">
      <c r="A34" t="s">
        <v>9</v>
      </c>
    </row>
  </sheetData>
  <dataValidations count="1">
    <dataValidation type="list" allowBlank="1" showInputMessage="1" showErrorMessage="1" sqref="J1" xr:uid="{EEC118F7-9BB3-4B69-B044-AAFCF17AB784}">
      <formula1>ELIST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4AB5A-6156-48FA-B385-27F943F7FECE}">
  <sheetPr codeName="Sheet2"/>
  <dimension ref="A1:N78"/>
  <sheetViews>
    <sheetView workbookViewId="0">
      <selection activeCell="F32" sqref="F32"/>
    </sheetView>
  </sheetViews>
  <sheetFormatPr defaultRowHeight="14.4" x14ac:dyDescent="0.3"/>
  <cols>
    <col min="2" max="2" width="10" bestFit="1" customWidth="1"/>
    <col min="3" max="3" width="12" bestFit="1" customWidth="1"/>
    <col min="4" max="5" width="12.88671875" style="7" bestFit="1" customWidth="1"/>
    <col min="6" max="6" width="50.6640625" customWidth="1"/>
    <col min="7" max="7" width="10.109375" bestFit="1" customWidth="1"/>
  </cols>
  <sheetData>
    <row r="1" spans="1:14" x14ac:dyDescent="0.3">
      <c r="A1" t="s">
        <v>11</v>
      </c>
      <c r="B1" s="2" t="s">
        <v>0</v>
      </c>
      <c r="C1" s="2" t="s">
        <v>4</v>
      </c>
      <c r="D1" s="9" t="s">
        <v>2</v>
      </c>
      <c r="E1" s="9" t="s">
        <v>3</v>
      </c>
      <c r="F1" s="1" t="s">
        <v>1</v>
      </c>
      <c r="G1" s="1" t="s">
        <v>15</v>
      </c>
      <c r="H1" s="1" t="s">
        <v>14</v>
      </c>
      <c r="J1" t="s">
        <v>10</v>
      </c>
      <c r="K1" t="s">
        <v>161</v>
      </c>
    </row>
    <row r="2" spans="1:14" x14ac:dyDescent="0.3">
      <c r="A2">
        <v>1</v>
      </c>
      <c r="B2" s="13" t="s">
        <v>25</v>
      </c>
      <c r="C2" s="13" t="s">
        <v>26</v>
      </c>
      <c r="D2" s="8"/>
      <c r="E2" s="8"/>
      <c r="F2" s="14" t="s">
        <v>27</v>
      </c>
      <c r="G2" s="5"/>
      <c r="H2" s="13" t="s">
        <v>28</v>
      </c>
    </row>
    <row r="3" spans="1:14" x14ac:dyDescent="0.3">
      <c r="A3">
        <v>2</v>
      </c>
      <c r="B3" s="13" t="s">
        <v>29</v>
      </c>
      <c r="C3" s="13" t="s">
        <v>30</v>
      </c>
      <c r="D3" s="8"/>
      <c r="E3" s="8"/>
      <c r="F3" s="14" t="s">
        <v>31</v>
      </c>
      <c r="G3" s="5"/>
      <c r="H3" s="13" t="s">
        <v>32</v>
      </c>
    </row>
    <row r="4" spans="1:14" x14ac:dyDescent="0.3">
      <c r="A4">
        <v>3</v>
      </c>
      <c r="B4" s="13" t="s">
        <v>33</v>
      </c>
      <c r="C4" s="13" t="s">
        <v>34</v>
      </c>
      <c r="D4" s="8"/>
      <c r="E4" s="8"/>
      <c r="F4" s="14" t="s">
        <v>35</v>
      </c>
      <c r="G4" s="5"/>
      <c r="H4" s="13" t="s">
        <v>36</v>
      </c>
    </row>
    <row r="5" spans="1:14" x14ac:dyDescent="0.3">
      <c r="A5">
        <v>4</v>
      </c>
      <c r="B5" s="13" t="s">
        <v>37</v>
      </c>
      <c r="C5" s="13" t="s">
        <v>38</v>
      </c>
      <c r="D5" s="8"/>
      <c r="E5" s="8"/>
      <c r="F5" s="14" t="s">
        <v>39</v>
      </c>
      <c r="G5" s="5"/>
      <c r="H5" s="13" t="s">
        <v>28</v>
      </c>
      <c r="M5" t="s">
        <v>23</v>
      </c>
      <c r="N5" s="12" t="s">
        <v>24</v>
      </c>
    </row>
    <row r="6" spans="1:14" x14ac:dyDescent="0.3">
      <c r="A6">
        <v>5</v>
      </c>
      <c r="B6" s="13" t="s">
        <v>40</v>
      </c>
      <c r="C6" s="13" t="s">
        <v>41</v>
      </c>
      <c r="D6" s="8"/>
      <c r="E6" s="8"/>
      <c r="F6" s="14" t="s">
        <v>42</v>
      </c>
      <c r="G6" s="5"/>
      <c r="H6" s="13" t="s">
        <v>28</v>
      </c>
    </row>
    <row r="7" spans="1:14" x14ac:dyDescent="0.3">
      <c r="A7">
        <v>6</v>
      </c>
      <c r="B7" s="13" t="s">
        <v>43</v>
      </c>
      <c r="C7" s="13" t="s">
        <v>44</v>
      </c>
      <c r="D7" s="8"/>
      <c r="E7" s="8"/>
      <c r="F7" s="14" t="s">
        <v>45</v>
      </c>
      <c r="G7" s="5"/>
      <c r="H7" s="13" t="s">
        <v>46</v>
      </c>
    </row>
    <row r="8" spans="1:14" x14ac:dyDescent="0.3">
      <c r="A8">
        <v>7</v>
      </c>
      <c r="B8" s="13" t="s">
        <v>47</v>
      </c>
      <c r="C8" s="13" t="s">
        <v>48</v>
      </c>
      <c r="D8" s="8"/>
      <c r="E8" s="8"/>
      <c r="F8" s="14" t="s">
        <v>49</v>
      </c>
      <c r="G8" s="5"/>
      <c r="H8" s="13" t="s">
        <v>50</v>
      </c>
    </row>
    <row r="9" spans="1:14" x14ac:dyDescent="0.3">
      <c r="A9">
        <v>8</v>
      </c>
      <c r="B9" s="13" t="s">
        <v>51</v>
      </c>
      <c r="C9" s="13" t="s">
        <v>52</v>
      </c>
      <c r="D9" s="8"/>
      <c r="E9" s="8"/>
      <c r="F9" s="14" t="s">
        <v>53</v>
      </c>
      <c r="G9" s="5"/>
      <c r="H9" s="13" t="s">
        <v>50</v>
      </c>
    </row>
    <row r="10" spans="1:14" x14ac:dyDescent="0.3">
      <c r="A10">
        <v>9</v>
      </c>
      <c r="B10" s="13" t="s">
        <v>54</v>
      </c>
      <c r="C10" s="13" t="s">
        <v>55</v>
      </c>
      <c r="D10" s="8"/>
      <c r="E10" s="8"/>
      <c r="F10" s="14" t="s">
        <v>56</v>
      </c>
      <c r="G10" s="5"/>
      <c r="H10" s="13" t="s">
        <v>57</v>
      </c>
    </row>
    <row r="11" spans="1:14" x14ac:dyDescent="0.3">
      <c r="A11">
        <v>10</v>
      </c>
      <c r="B11" s="13" t="s">
        <v>58</v>
      </c>
      <c r="C11" s="13" t="s">
        <v>59</v>
      </c>
      <c r="D11" s="8"/>
      <c r="E11" s="8"/>
      <c r="F11" s="14" t="s">
        <v>60</v>
      </c>
      <c r="G11" s="5"/>
      <c r="H11" s="13" t="s">
        <v>36</v>
      </c>
    </row>
    <row r="12" spans="1:14" x14ac:dyDescent="0.3">
      <c r="A12">
        <v>11</v>
      </c>
      <c r="B12" s="13" t="s">
        <v>61</v>
      </c>
      <c r="C12" s="13" t="s">
        <v>62</v>
      </c>
      <c r="D12" s="8"/>
      <c r="E12" s="8"/>
      <c r="F12" s="14" t="s">
        <v>63</v>
      </c>
      <c r="G12" s="5"/>
      <c r="H12" s="13" t="s">
        <v>36</v>
      </c>
    </row>
    <row r="13" spans="1:14" x14ac:dyDescent="0.3">
      <c r="A13">
        <v>12</v>
      </c>
      <c r="B13" s="13" t="s">
        <v>64</v>
      </c>
      <c r="C13" s="13" t="s">
        <v>65</v>
      </c>
      <c r="D13" s="8"/>
      <c r="E13" s="8"/>
      <c r="F13" s="14" t="s">
        <v>66</v>
      </c>
      <c r="G13" s="5"/>
      <c r="H13" s="13" t="s">
        <v>36</v>
      </c>
    </row>
    <row r="14" spans="1:14" x14ac:dyDescent="0.3">
      <c r="A14">
        <v>13</v>
      </c>
      <c r="B14" s="13" t="s">
        <v>67</v>
      </c>
      <c r="C14" s="13" t="s">
        <v>68</v>
      </c>
      <c r="D14" s="8"/>
      <c r="E14" s="8"/>
      <c r="F14" s="14" t="s">
        <v>69</v>
      </c>
      <c r="G14" s="5"/>
      <c r="H14" s="13" t="s">
        <v>36</v>
      </c>
    </row>
    <row r="15" spans="1:14" x14ac:dyDescent="0.3">
      <c r="A15">
        <v>14</v>
      </c>
      <c r="B15" s="13" t="s">
        <v>70</v>
      </c>
      <c r="C15" s="13" t="s">
        <v>71</v>
      </c>
      <c r="D15" s="8"/>
      <c r="E15" s="8"/>
      <c r="F15" s="14" t="s">
        <v>72</v>
      </c>
      <c r="G15" s="5"/>
      <c r="H15" s="13" t="s">
        <v>46</v>
      </c>
    </row>
    <row r="16" spans="1:14" x14ac:dyDescent="0.3">
      <c r="A16">
        <v>15</v>
      </c>
      <c r="B16" s="13" t="s">
        <v>73</v>
      </c>
      <c r="C16" s="13" t="s">
        <v>74</v>
      </c>
      <c r="D16" s="8"/>
      <c r="E16" s="8"/>
      <c r="F16" s="14" t="s">
        <v>75</v>
      </c>
      <c r="G16" s="5"/>
      <c r="H16" s="13" t="s">
        <v>36</v>
      </c>
    </row>
    <row r="17" spans="1:8" x14ac:dyDescent="0.3">
      <c r="A17">
        <v>16</v>
      </c>
      <c r="B17" s="13" t="s">
        <v>76</v>
      </c>
      <c r="C17" s="13" t="s">
        <v>77</v>
      </c>
      <c r="D17" s="8"/>
      <c r="E17" s="8"/>
      <c r="F17" s="14" t="s">
        <v>78</v>
      </c>
      <c r="G17" s="5"/>
      <c r="H17" s="13" t="s">
        <v>79</v>
      </c>
    </row>
    <row r="18" spans="1:8" x14ac:dyDescent="0.3">
      <c r="A18">
        <v>17</v>
      </c>
      <c r="B18" s="13" t="s">
        <v>80</v>
      </c>
      <c r="C18" s="13" t="s">
        <v>81</v>
      </c>
      <c r="D18" s="8"/>
      <c r="E18" s="8"/>
      <c r="F18" s="14" t="s">
        <v>82</v>
      </c>
      <c r="G18" s="5"/>
      <c r="H18" s="13" t="s">
        <v>36</v>
      </c>
    </row>
    <row r="19" spans="1:8" x14ac:dyDescent="0.3">
      <c r="A19">
        <v>18</v>
      </c>
      <c r="B19" s="13" t="s">
        <v>83</v>
      </c>
      <c r="C19" s="13" t="s">
        <v>84</v>
      </c>
      <c r="D19" s="8"/>
      <c r="E19" s="8"/>
      <c r="F19" s="14" t="s">
        <v>85</v>
      </c>
      <c r="G19" s="5"/>
      <c r="H19" s="13" t="s">
        <v>28</v>
      </c>
    </row>
    <row r="20" spans="1:8" x14ac:dyDescent="0.3">
      <c r="A20">
        <v>19</v>
      </c>
      <c r="B20" s="13" t="s">
        <v>86</v>
      </c>
      <c r="C20" s="13" t="s">
        <v>87</v>
      </c>
      <c r="D20" s="8"/>
      <c r="E20" s="8"/>
      <c r="F20" s="14" t="s">
        <v>88</v>
      </c>
      <c r="G20" s="5"/>
      <c r="H20" s="13" t="s">
        <v>36</v>
      </c>
    </row>
    <row r="21" spans="1:8" x14ac:dyDescent="0.3">
      <c r="A21">
        <v>20</v>
      </c>
      <c r="B21" s="13" t="s">
        <v>89</v>
      </c>
      <c r="C21" s="13" t="s">
        <v>90</v>
      </c>
      <c r="D21" s="8"/>
      <c r="E21" s="8"/>
      <c r="F21" s="14" t="s">
        <v>91</v>
      </c>
      <c r="G21" s="5"/>
      <c r="H21" s="13" t="s">
        <v>50</v>
      </c>
    </row>
    <row r="22" spans="1:8" x14ac:dyDescent="0.3">
      <c r="A22">
        <v>21</v>
      </c>
      <c r="B22" s="13" t="s">
        <v>92</v>
      </c>
      <c r="C22" s="13" t="s">
        <v>93</v>
      </c>
      <c r="D22" s="8"/>
      <c r="E22" s="8"/>
      <c r="F22" s="14" t="s">
        <v>94</v>
      </c>
      <c r="G22" s="5"/>
      <c r="H22" s="13" t="s">
        <v>46</v>
      </c>
    </row>
    <row r="23" spans="1:8" x14ac:dyDescent="0.3">
      <c r="A23">
        <v>22</v>
      </c>
      <c r="B23" s="13" t="s">
        <v>95</v>
      </c>
      <c r="C23" s="13" t="s">
        <v>96</v>
      </c>
      <c r="D23" s="8"/>
      <c r="E23" s="8"/>
      <c r="F23" s="14" t="s">
        <v>97</v>
      </c>
      <c r="G23" s="5"/>
      <c r="H23" s="13" t="s">
        <v>32</v>
      </c>
    </row>
    <row r="24" spans="1:8" x14ac:dyDescent="0.3">
      <c r="A24">
        <v>23</v>
      </c>
      <c r="B24" s="13" t="s">
        <v>98</v>
      </c>
      <c r="C24" s="13" t="s">
        <v>99</v>
      </c>
      <c r="D24" s="8"/>
      <c r="E24" s="8"/>
      <c r="F24" s="14" t="s">
        <v>100</v>
      </c>
      <c r="G24" s="5"/>
      <c r="H24" s="13" t="s">
        <v>46</v>
      </c>
    </row>
    <row r="25" spans="1:8" x14ac:dyDescent="0.3">
      <c r="A25">
        <v>24</v>
      </c>
      <c r="B25" s="13" t="s">
        <v>101</v>
      </c>
      <c r="C25" s="13" t="s">
        <v>102</v>
      </c>
      <c r="D25" s="8"/>
      <c r="E25" s="8"/>
      <c r="F25" s="14" t="s">
        <v>103</v>
      </c>
      <c r="G25" s="5"/>
      <c r="H25" s="13" t="s">
        <v>46</v>
      </c>
    </row>
    <row r="26" spans="1:8" x14ac:dyDescent="0.3">
      <c r="A26">
        <v>25</v>
      </c>
      <c r="B26" s="13" t="s">
        <v>104</v>
      </c>
      <c r="C26" s="13" t="s">
        <v>105</v>
      </c>
      <c r="D26" s="8"/>
      <c r="E26" s="8"/>
      <c r="F26" s="14" t="s">
        <v>106</v>
      </c>
      <c r="G26" s="5"/>
      <c r="H26" s="13" t="s">
        <v>32</v>
      </c>
    </row>
    <row r="27" spans="1:8" x14ac:dyDescent="0.3">
      <c r="A27">
        <v>26</v>
      </c>
      <c r="B27" s="13" t="s">
        <v>107</v>
      </c>
      <c r="C27" s="13" t="s">
        <v>108</v>
      </c>
      <c r="D27" s="8"/>
      <c r="E27" s="8"/>
      <c r="F27" s="14" t="s">
        <v>109</v>
      </c>
      <c r="G27" s="5"/>
      <c r="H27" s="13" t="s">
        <v>110</v>
      </c>
    </row>
    <row r="28" spans="1:8" x14ac:dyDescent="0.3">
      <c r="A28">
        <v>27</v>
      </c>
      <c r="B28" s="13" t="s">
        <v>111</v>
      </c>
      <c r="C28" s="13" t="s">
        <v>112</v>
      </c>
      <c r="D28" s="8"/>
      <c r="E28" s="8"/>
      <c r="F28" s="14" t="s">
        <v>113</v>
      </c>
      <c r="G28" s="5"/>
      <c r="H28" s="13" t="s">
        <v>36</v>
      </c>
    </row>
    <row r="29" spans="1:8" x14ac:dyDescent="0.3">
      <c r="A29">
        <v>28</v>
      </c>
      <c r="B29" s="13" t="s">
        <v>114</v>
      </c>
      <c r="C29" s="13" t="s">
        <v>115</v>
      </c>
      <c r="D29" s="8"/>
      <c r="E29" s="8"/>
      <c r="F29" s="14" t="s">
        <v>116</v>
      </c>
      <c r="G29" s="5"/>
      <c r="H29" s="13" t="s">
        <v>36</v>
      </c>
    </row>
    <row r="30" spans="1:8" x14ac:dyDescent="0.3">
      <c r="A30">
        <v>29</v>
      </c>
      <c r="B30" s="13" t="s">
        <v>117</v>
      </c>
      <c r="C30" s="13" t="s">
        <v>118</v>
      </c>
      <c r="D30" s="8"/>
      <c r="E30" s="8"/>
      <c r="F30" s="14" t="s">
        <v>119</v>
      </c>
      <c r="G30" s="5"/>
      <c r="H30" s="13" t="s">
        <v>28</v>
      </c>
    </row>
    <row r="31" spans="1:8" x14ac:dyDescent="0.3">
      <c r="A31">
        <v>30</v>
      </c>
      <c r="B31" s="13" t="s">
        <v>120</v>
      </c>
      <c r="C31" s="13" t="s">
        <v>121</v>
      </c>
      <c r="D31" s="8"/>
      <c r="E31" s="8"/>
      <c r="F31" s="14" t="s">
        <v>122</v>
      </c>
      <c r="G31" s="5"/>
      <c r="H31" s="13" t="s">
        <v>28</v>
      </c>
    </row>
    <row r="32" spans="1:8" x14ac:dyDescent="0.3">
      <c r="A32">
        <v>31</v>
      </c>
      <c r="B32" s="13" t="s">
        <v>123</v>
      </c>
      <c r="C32" s="13" t="s">
        <v>124</v>
      </c>
      <c r="D32" s="8"/>
      <c r="E32" s="8"/>
      <c r="F32" s="14" t="s">
        <v>125</v>
      </c>
      <c r="G32" s="5"/>
      <c r="H32" s="13" t="s">
        <v>126</v>
      </c>
    </row>
    <row r="33" spans="1:8" x14ac:dyDescent="0.3">
      <c r="A33">
        <v>32</v>
      </c>
      <c r="B33" s="13" t="s">
        <v>127</v>
      </c>
      <c r="C33" s="13" t="s">
        <v>128</v>
      </c>
      <c r="D33" s="8"/>
      <c r="E33" s="8"/>
      <c r="F33" s="14" t="s">
        <v>129</v>
      </c>
      <c r="G33" s="5"/>
      <c r="H33" s="13" t="s">
        <v>36</v>
      </c>
    </row>
    <row r="34" spans="1:8" x14ac:dyDescent="0.3">
      <c r="A34">
        <v>33</v>
      </c>
      <c r="B34" s="13" t="s">
        <v>130</v>
      </c>
      <c r="C34" s="13" t="s">
        <v>131</v>
      </c>
      <c r="D34" s="8"/>
      <c r="E34" s="8"/>
      <c r="F34" s="14" t="s">
        <v>132</v>
      </c>
      <c r="G34" s="5"/>
      <c r="H34" s="13" t="s">
        <v>46</v>
      </c>
    </row>
    <row r="35" spans="1:8" x14ac:dyDescent="0.3">
      <c r="A35">
        <v>34</v>
      </c>
      <c r="B35" s="13" t="s">
        <v>133</v>
      </c>
      <c r="C35" s="13" t="s">
        <v>134</v>
      </c>
      <c r="D35" s="8"/>
      <c r="E35" s="8"/>
      <c r="F35" s="14" t="s">
        <v>135</v>
      </c>
      <c r="G35" s="5"/>
      <c r="H35" s="13" t="s">
        <v>46</v>
      </c>
    </row>
    <row r="36" spans="1:8" x14ac:dyDescent="0.3">
      <c r="A36">
        <v>35</v>
      </c>
      <c r="B36" s="13" t="s">
        <v>136</v>
      </c>
      <c r="C36" s="13" t="s">
        <v>137</v>
      </c>
      <c r="D36" s="8"/>
      <c r="E36" s="8"/>
      <c r="F36" s="14" t="s">
        <v>138</v>
      </c>
      <c r="G36" s="5"/>
      <c r="H36" s="13" t="s">
        <v>46</v>
      </c>
    </row>
    <row r="37" spans="1:8" x14ac:dyDescent="0.3">
      <c r="A37">
        <v>36</v>
      </c>
      <c r="B37" s="13" t="s">
        <v>139</v>
      </c>
      <c r="C37" s="13" t="s">
        <v>140</v>
      </c>
      <c r="D37" s="8"/>
      <c r="E37" s="8"/>
      <c r="F37" s="14" t="s">
        <v>141</v>
      </c>
      <c r="G37" s="5"/>
      <c r="H37" s="13" t="s">
        <v>32</v>
      </c>
    </row>
    <row r="38" spans="1:8" x14ac:dyDescent="0.3">
      <c r="A38">
        <v>37</v>
      </c>
      <c r="B38" s="13" t="s">
        <v>142</v>
      </c>
      <c r="C38" s="13" t="s">
        <v>143</v>
      </c>
      <c r="D38" s="8"/>
      <c r="E38" s="8"/>
      <c r="F38" s="14" t="s">
        <v>144</v>
      </c>
      <c r="G38" s="5"/>
      <c r="H38" s="13" t="s">
        <v>145</v>
      </c>
    </row>
    <row r="39" spans="1:8" x14ac:dyDescent="0.3">
      <c r="A39">
        <v>38</v>
      </c>
      <c r="B39" s="13" t="s">
        <v>146</v>
      </c>
      <c r="C39" s="13" t="s">
        <v>147</v>
      </c>
      <c r="D39" s="8"/>
      <c r="E39" s="8"/>
      <c r="F39" s="14" t="s">
        <v>148</v>
      </c>
      <c r="G39" s="5"/>
      <c r="H39" s="13" t="s">
        <v>46</v>
      </c>
    </row>
    <row r="40" spans="1:8" x14ac:dyDescent="0.3">
      <c r="A40">
        <v>39</v>
      </c>
      <c r="B40" s="13" t="s">
        <v>149</v>
      </c>
      <c r="C40" s="13" t="s">
        <v>150</v>
      </c>
      <c r="D40" s="8"/>
      <c r="E40" s="8"/>
      <c r="F40" s="14" t="s">
        <v>151</v>
      </c>
      <c r="G40" s="5"/>
      <c r="H40" s="13" t="s">
        <v>152</v>
      </c>
    </row>
    <row r="41" spans="1:8" x14ac:dyDescent="0.3">
      <c r="A41">
        <v>40</v>
      </c>
      <c r="B41" s="13" t="s">
        <v>153</v>
      </c>
      <c r="C41" s="13" t="s">
        <v>154</v>
      </c>
      <c r="D41" s="8"/>
      <c r="E41" s="8"/>
      <c r="F41" s="14" t="s">
        <v>155</v>
      </c>
      <c r="G41" s="5"/>
      <c r="H41" s="13" t="s">
        <v>46</v>
      </c>
    </row>
    <row r="42" spans="1:8" x14ac:dyDescent="0.3">
      <c r="A42">
        <v>41</v>
      </c>
      <c r="B42" s="13" t="s">
        <v>156</v>
      </c>
      <c r="C42" s="13" t="s">
        <v>157</v>
      </c>
      <c r="D42" s="8"/>
      <c r="E42" s="8"/>
      <c r="F42" s="14" t="s">
        <v>158</v>
      </c>
      <c r="G42" s="5"/>
      <c r="H42" s="13" t="s">
        <v>159</v>
      </c>
    </row>
    <row r="43" spans="1:8" x14ac:dyDescent="0.3">
      <c r="A43">
        <v>42</v>
      </c>
      <c r="B43" s="13" t="s">
        <v>162</v>
      </c>
      <c r="C43" s="13" t="s">
        <v>163</v>
      </c>
      <c r="D43" s="8"/>
      <c r="E43" s="8"/>
      <c r="F43" s="15" t="s">
        <v>164</v>
      </c>
      <c r="G43" s="5"/>
      <c r="H43" s="13" t="s">
        <v>36</v>
      </c>
    </row>
    <row r="44" spans="1:8" x14ac:dyDescent="0.3">
      <c r="A44">
        <v>43</v>
      </c>
      <c r="B44" s="13" t="s">
        <v>165</v>
      </c>
      <c r="C44" s="13" t="s">
        <v>166</v>
      </c>
      <c r="D44" s="8"/>
      <c r="E44" s="8"/>
      <c r="F44" s="15" t="s">
        <v>167</v>
      </c>
      <c r="G44" s="5"/>
      <c r="H44" s="13" t="s">
        <v>36</v>
      </c>
    </row>
    <row r="45" spans="1:8" x14ac:dyDescent="0.3">
      <c r="B45" s="11"/>
      <c r="C45" s="11"/>
      <c r="D45" s="8"/>
      <c r="E45" s="8"/>
      <c r="G45" s="5"/>
    </row>
    <row r="46" spans="1:8" x14ac:dyDescent="0.3">
      <c r="B46" s="11"/>
      <c r="C46" s="11"/>
      <c r="D46" s="8"/>
      <c r="E46" s="8"/>
      <c r="G46" s="5"/>
    </row>
    <row r="47" spans="1:8" x14ac:dyDescent="0.3">
      <c r="B47" s="11"/>
      <c r="C47" s="11"/>
      <c r="D47" s="8"/>
      <c r="E47" s="8"/>
      <c r="G47" s="5"/>
    </row>
    <row r="48" spans="1:8" x14ac:dyDescent="0.3">
      <c r="B48" s="11"/>
      <c r="C48" s="11"/>
      <c r="D48" s="8"/>
      <c r="E48" s="8"/>
      <c r="G48" s="5"/>
    </row>
    <row r="49" spans="2:7" x14ac:dyDescent="0.3">
      <c r="B49" s="11"/>
      <c r="C49" s="11"/>
      <c r="D49" s="8"/>
      <c r="E49" s="8"/>
      <c r="G49" s="5"/>
    </row>
    <row r="50" spans="2:7" x14ac:dyDescent="0.3">
      <c r="B50" s="11"/>
      <c r="C50" s="11"/>
      <c r="D50" s="8"/>
      <c r="E50" s="8"/>
      <c r="G50" s="5"/>
    </row>
    <row r="51" spans="2:7" x14ac:dyDescent="0.3">
      <c r="B51" s="11"/>
      <c r="C51" s="11"/>
      <c r="D51" s="8"/>
      <c r="E51" s="8"/>
      <c r="G51" s="5"/>
    </row>
    <row r="52" spans="2:7" x14ac:dyDescent="0.3">
      <c r="B52" s="11"/>
      <c r="C52" s="11"/>
      <c r="D52" s="8"/>
      <c r="E52" s="8"/>
      <c r="G52" s="5"/>
    </row>
    <row r="53" spans="2:7" x14ac:dyDescent="0.3">
      <c r="B53" s="11"/>
      <c r="C53" s="11"/>
      <c r="D53" s="8"/>
      <c r="E53" s="8"/>
      <c r="G53" s="5"/>
    </row>
    <row r="54" spans="2:7" x14ac:dyDescent="0.3">
      <c r="B54" s="11"/>
      <c r="C54" s="11"/>
      <c r="D54" s="8"/>
      <c r="E54" s="8"/>
      <c r="G54" s="5"/>
    </row>
    <row r="55" spans="2:7" x14ac:dyDescent="0.3">
      <c r="B55" s="11"/>
      <c r="C55" s="11"/>
      <c r="D55" s="8"/>
      <c r="E55" s="8"/>
      <c r="G55" s="5"/>
    </row>
    <row r="56" spans="2:7" x14ac:dyDescent="0.3">
      <c r="B56" s="11"/>
      <c r="C56" s="11"/>
      <c r="D56" s="8"/>
      <c r="E56" s="8"/>
      <c r="G56" s="5"/>
    </row>
    <row r="57" spans="2:7" x14ac:dyDescent="0.3">
      <c r="B57" s="11"/>
      <c r="C57" s="11"/>
      <c r="D57" s="8"/>
      <c r="E57" s="8"/>
      <c r="G57" s="5"/>
    </row>
    <row r="58" spans="2:7" x14ac:dyDescent="0.3">
      <c r="B58" s="11"/>
      <c r="C58" s="11"/>
      <c r="D58" s="8"/>
      <c r="E58" s="8"/>
      <c r="G58" s="5"/>
    </row>
    <row r="59" spans="2:7" x14ac:dyDescent="0.3">
      <c r="B59" s="11"/>
      <c r="C59" s="11"/>
      <c r="D59" s="8"/>
      <c r="E59" s="8"/>
      <c r="G59" s="5"/>
    </row>
    <row r="60" spans="2:7" x14ac:dyDescent="0.3">
      <c r="B60" s="11"/>
      <c r="C60" s="11"/>
      <c r="D60" s="8"/>
      <c r="E60" s="8"/>
      <c r="G60" s="5"/>
    </row>
    <row r="61" spans="2:7" x14ac:dyDescent="0.3">
      <c r="B61" s="11"/>
      <c r="C61" s="11"/>
      <c r="D61" s="8"/>
      <c r="E61" s="8"/>
      <c r="G61" s="5"/>
    </row>
    <row r="62" spans="2:7" x14ac:dyDescent="0.3">
      <c r="B62" s="11"/>
      <c r="C62" s="11"/>
      <c r="D62" s="8"/>
      <c r="E62" s="8"/>
      <c r="G62" s="5"/>
    </row>
    <row r="63" spans="2:7" x14ac:dyDescent="0.3">
      <c r="B63" s="11"/>
      <c r="C63" s="11"/>
      <c r="D63" s="8"/>
      <c r="E63" s="8"/>
      <c r="G63" s="5"/>
    </row>
    <row r="64" spans="2:7" x14ac:dyDescent="0.3">
      <c r="B64" s="11"/>
      <c r="C64" s="11"/>
      <c r="D64" s="8"/>
      <c r="E64" s="8"/>
      <c r="G64" s="5"/>
    </row>
    <row r="65" spans="2:7" x14ac:dyDescent="0.3">
      <c r="B65" s="11"/>
      <c r="C65" s="11"/>
      <c r="D65" s="8"/>
      <c r="E65" s="8"/>
      <c r="G65" s="5"/>
    </row>
    <row r="66" spans="2:7" x14ac:dyDescent="0.3">
      <c r="B66" s="11"/>
      <c r="C66" s="11"/>
      <c r="D66" s="8"/>
      <c r="E66" s="8"/>
      <c r="G66" s="5"/>
    </row>
    <row r="67" spans="2:7" x14ac:dyDescent="0.3">
      <c r="B67" s="11"/>
      <c r="C67" s="11"/>
      <c r="D67" s="8"/>
      <c r="E67" s="8"/>
      <c r="G67" s="5"/>
    </row>
    <row r="68" spans="2:7" x14ac:dyDescent="0.3">
      <c r="B68" s="11"/>
      <c r="C68" s="11"/>
      <c r="D68" s="8"/>
      <c r="E68" s="8"/>
      <c r="G68" s="5"/>
    </row>
    <row r="69" spans="2:7" x14ac:dyDescent="0.3">
      <c r="B69" s="11"/>
      <c r="C69" s="11"/>
      <c r="D69" s="8"/>
      <c r="E69" s="8"/>
      <c r="G69" s="5"/>
    </row>
    <row r="70" spans="2:7" x14ac:dyDescent="0.3">
      <c r="B70" s="11"/>
      <c r="C70" s="11"/>
      <c r="D70" s="8"/>
      <c r="E70" s="8"/>
      <c r="G70" s="5"/>
    </row>
    <row r="71" spans="2:7" x14ac:dyDescent="0.3">
      <c r="B71" s="11"/>
      <c r="C71" s="11"/>
      <c r="D71" s="8"/>
      <c r="E71" s="8"/>
      <c r="G71" s="5"/>
    </row>
    <row r="72" spans="2:7" x14ac:dyDescent="0.3">
      <c r="B72" s="11"/>
      <c r="C72" s="11"/>
      <c r="D72" s="8"/>
      <c r="E72" s="8"/>
      <c r="G72" s="5"/>
    </row>
    <row r="73" spans="2:7" x14ac:dyDescent="0.3">
      <c r="B73" s="11"/>
      <c r="C73" s="11"/>
      <c r="D73" s="8"/>
      <c r="E73" s="8"/>
      <c r="G73" s="5"/>
    </row>
    <row r="74" spans="2:7" x14ac:dyDescent="0.3">
      <c r="B74" s="11"/>
      <c r="C74" s="11"/>
      <c r="D74" s="8"/>
      <c r="E74" s="8"/>
      <c r="G74" s="5"/>
    </row>
    <row r="75" spans="2:7" x14ac:dyDescent="0.3">
      <c r="B75" s="11"/>
      <c r="C75" s="11"/>
      <c r="D75" s="8"/>
      <c r="E75" s="8"/>
      <c r="G75" s="5"/>
    </row>
    <row r="76" spans="2:7" x14ac:dyDescent="0.3">
      <c r="B76" s="11"/>
      <c r="C76" s="11"/>
      <c r="D76" s="8"/>
      <c r="E76" s="8"/>
      <c r="G76" s="5"/>
    </row>
    <row r="77" spans="2:7" x14ac:dyDescent="0.3">
      <c r="B77" s="6"/>
      <c r="C77" s="6"/>
      <c r="D77" s="8"/>
      <c r="E77" s="8"/>
      <c r="G77" s="5"/>
    </row>
    <row r="78" spans="2:7" x14ac:dyDescent="0.3">
      <c r="B78" s="6"/>
      <c r="C78" s="6"/>
      <c r="D78" s="8"/>
      <c r="E78" s="8"/>
      <c r="G78" s="5"/>
    </row>
  </sheetData>
  <phoneticPr fontId="4" type="noConversion"/>
  <hyperlinks>
    <hyperlink ref="N5" r:id="rId1" xr:uid="{FB2AFAD0-D680-4F51-9662-6DC897ED5A9D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CreatePDF">
                <anchor moveWithCells="1" sizeWithCells="1">
                  <from>
                    <xdr:col>8</xdr:col>
                    <xdr:colOff>541020</xdr:colOff>
                    <xdr:row>2</xdr:row>
                    <xdr:rowOff>7620</xdr:rowOff>
                  </from>
                  <to>
                    <xdr:col>11</xdr:col>
                    <xdr:colOff>30480</xdr:colOff>
                    <xdr:row>4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20DDF-4C2B-4492-8253-49CD4C39B2E6}">
  <sheetPr codeName="Sheet3"/>
  <dimension ref="A1:B3"/>
  <sheetViews>
    <sheetView workbookViewId="0">
      <selection activeCell="B1" sqref="B1"/>
    </sheetView>
  </sheetViews>
  <sheetFormatPr defaultRowHeight="14.4" x14ac:dyDescent="0.3"/>
  <sheetData>
    <row r="1" spans="1:2" x14ac:dyDescent="0.3">
      <c r="A1" t="s">
        <v>5</v>
      </c>
      <c r="B1" t="s">
        <v>18</v>
      </c>
    </row>
    <row r="3" spans="1:2" x14ac:dyDescent="0.3">
      <c r="A3" t="s">
        <v>6</v>
      </c>
      <c r="B3" t="s">
        <v>19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A5C30C83F1128428BD007909D19D4B6" ma:contentTypeVersion="18" ma:contentTypeDescription="Create a new document." ma:contentTypeScope="" ma:versionID="3dfa57b60915cb89e84d1dafa9aa4367">
  <xsd:schema xmlns:xsd="http://www.w3.org/2001/XMLSchema" xmlns:xs="http://www.w3.org/2001/XMLSchema" xmlns:p="http://schemas.microsoft.com/office/2006/metadata/properties" xmlns:ns2="c1d88682-5bb4-4b77-8381-a0bff46ba180" xmlns:ns3="a78743d5-adab-4900-84aa-f3107a003ac7" targetNamespace="http://schemas.microsoft.com/office/2006/metadata/properties" ma:root="true" ma:fieldsID="3cbd4ca0a4d8ef285ce91638ebe1934d" ns2:_="" ns3:_="">
    <xsd:import namespace="c1d88682-5bb4-4b77-8381-a0bff46ba180"/>
    <xsd:import namespace="a78743d5-adab-4900-84aa-f3107a003ac7"/>
    <xsd:element name="properties">
      <xsd:complexType>
        <xsd:sequence>
          <xsd:element name="documentManagement">
            <xsd:complexType>
              <xsd:all>
                <xsd:element ref="ns2:SharedWithDetail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1d88682-5bb4-4b77-8381-a0bff46ba180" elementFormDefault="qualified">
    <xsd:import namespace="http://schemas.microsoft.com/office/2006/documentManagement/types"/>
    <xsd:import namespace="http://schemas.microsoft.com/office/infopath/2007/PartnerControls"/>
    <xsd:element name="SharedWithDetails" ma:index="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1" nillable="true" ma:displayName="Taxonomy Catch All Column" ma:hidden="true" ma:list="{d9473355-2eb0-46f8-83d7-a4ff11c378a8}" ma:internalName="TaxCatchAll" ma:showField="CatchAllData" ma:web="c1d88682-5bb4-4b77-8381-a0bff46ba18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8743d5-adab-4900-84aa-f3107a003ac7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0" nillable="true" ma:taxonomy="true" ma:internalName="lcf76f155ced4ddcb4097134ff3c332f" ma:taxonomyFieldName="MediaServiceImageTags" ma:displayName="Image Tags" ma:readOnly="false" ma:fieldId="{5cf76f15-5ced-4ddc-b409-7134ff3c332f}" ma:taxonomyMulti="true" ma:sspId="4697bbf6-6419-4155-a298-65ef6421e5e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1d88682-5bb4-4b77-8381-a0bff46ba180" xsi:nil="true"/>
    <lcf76f155ced4ddcb4097134ff3c332f xmlns="a78743d5-adab-4900-84aa-f3107a003ac7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AE532E8-E377-4F98-990D-E1B4925A5D2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1d88682-5bb4-4b77-8381-a0bff46ba180"/>
    <ds:schemaRef ds:uri="a78743d5-adab-4900-84aa-f3107a003ac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D6BE188-E22A-4E63-9BBE-37D76971573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115106A-B38E-4A24-BB07-B817F0BF75A0}">
  <ds:schemaRefs>
    <ds:schemaRef ds:uri="http://schemas.microsoft.com/office/2006/metadata/properties"/>
    <ds:schemaRef ds:uri="http://schemas.microsoft.com/office/infopath/2007/PartnerControls"/>
    <ds:schemaRef ds:uri="c1d88682-5bb4-4b77-8381-a0bff46ba180"/>
    <ds:schemaRef ds:uri="a78743d5-adab-4900-84aa-f3107a003ac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Letter</vt:lpstr>
      <vt:lpstr>Data</vt:lpstr>
      <vt:lpstr>Other</vt:lpstr>
      <vt:lpstr>Letter!Print_Area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Tom Young</dc:creator>
  <cp:lastModifiedBy>Tom Young</cp:lastModifiedBy>
  <cp:lastPrinted>2025-07-11T01:00:18Z</cp:lastPrinted>
  <dcterms:created xsi:type="dcterms:W3CDTF">2022-06-27T04:04:43Z</dcterms:created>
  <dcterms:modified xsi:type="dcterms:W3CDTF">2025-07-11T01:00:37Z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0x0101003A5C30C83F1128428BD007909D19D4B6</vt:lpwstr>
  </property>
  <property fmtid="{D5CDD505-2E9C-101B-9397-08002B2CF9AE}" pid="3" name="Order">
    <vt:r8>99600</vt:r8>
  </property>
  <property fmtid="{D5CDD505-2E9C-101B-9397-08002B2CF9AE}" pid="4" name="GUID">
    <vt:lpwstr>9f5ac10c-80de-424c-a871-b8dad0e04a95</vt:lpwstr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TemplateUrl">
    <vt:lpwstr/>
  </property>
  <property fmtid="{D5CDD505-2E9C-101B-9397-08002B2CF9AE}" pid="10" name="ComplianceAssetId">
    <vt:lpwstr/>
  </property>
  <property fmtid="{D5CDD505-2E9C-101B-9397-08002B2CF9AE}" pid="11" name="MediaServiceImageTags">
    <vt:lpwstr/>
  </property>
</Properties>
</file>