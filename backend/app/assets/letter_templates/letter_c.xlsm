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il\Downloads\"/>
    </mc:Choice>
  </mc:AlternateContent>
  <xr:revisionPtr revIDLastSave="0" documentId="13_ncr:1_{1A89C891-A17C-4A27-8B44-B145A9F5A760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Letter" sheetId="1" r:id="rId1"/>
    <sheet name="Data" sheetId="2" r:id="rId2"/>
    <sheet name="Other" sheetId="3" r:id="rId3"/>
  </sheets>
  <definedNames>
    <definedName name="ELIST">Data!$A$2:INDEX(Data!$A:$A,COUNTA(Data!$A:$A) )</definedName>
    <definedName name="EM">Data!$F$2:INDEX(Data!$F:$F,COUNTA(Data!$F:$F) )</definedName>
    <definedName name="_xlnm.Print_Area" localSheetId="0">Letter!$A$1:$A$34</definedName>
  </definedNames>
  <calcPr calcId="181029"/>
</workbook>
</file>

<file path=xl/calcChain.xml><?xml version="1.0" encoding="utf-8"?>
<calcChain xmlns="http://schemas.openxmlformats.org/spreadsheetml/2006/main">
  <c r="A8" i="1" l="1"/>
  <c r="K4" i="1"/>
  <c r="A16" i="1" s="1"/>
  <c r="K3" i="1"/>
  <c r="K2" i="1"/>
  <c r="K1" i="1"/>
  <c r="A12" i="1" s="1"/>
</calcChain>
</file>

<file path=xl/sharedStrings.xml><?xml version="1.0" encoding="utf-8"?>
<sst xmlns="http://schemas.openxmlformats.org/spreadsheetml/2006/main" count="31" uniqueCount="29">
  <si>
    <t>10290</t>
  </si>
  <si>
    <t>Via Email Correspondence</t>
  </si>
  <si>
    <t>Re: Realignment of your Award level</t>
  </si>
  <si>
    <t>As part of this proposed change, we are asking for any feedback on this to be sent to Carlisle HR at peopleandculture@carlislehealth.com.au by COB 28 days from letter date ('the consultation period'). Please take note that the proposed alignment of your Award level does not impact your current payrate.</t>
  </si>
  <si>
    <t>If you do not have any feedback, your Award level will be updated to the above.</t>
  </si>
  <si>
    <t>All other terms and conditions governing your employment continue to apply as per your current employment contract.</t>
  </si>
  <si>
    <t>If you are unclear on anything contained in this correspondence, please contact HR on peopleandculture@carlislehealth.com.au.</t>
  </si>
  <si>
    <t>On behalf of the Carlisle Health Management Team and Board, we would like to thank you for your ongoing contribution.
Yours Sincerely</t>
  </si>
  <si>
    <t>Shayne Troter</t>
  </si>
  <si>
    <t>General Manager, Operations</t>
  </si>
  <si>
    <t>Carlisle Health</t>
  </si>
  <si>
    <t>#</t>
  </si>
  <si>
    <t>First Name</t>
  </si>
  <si>
    <t>Surname</t>
  </si>
  <si>
    <t>Old Pay-Rate</t>
  </si>
  <si>
    <t>New Pay-Rate</t>
  </si>
  <si>
    <t>Email</t>
  </si>
  <si>
    <t>% Increase</t>
  </si>
  <si>
    <t>Award Level</t>
  </si>
  <si>
    <t>Path:</t>
  </si>
  <si>
    <t>PASTE A FOLDER PATH HERE BEFORE RUNNING CreatePDF (e.g. C:\Users\you\Desktop\Letters)</t>
  </si>
  <si>
    <t>HPSS HP L4 PP1</t>
  </si>
  <si>
    <t>10293</t>
  </si>
  <si>
    <t>Email From:</t>
  </si>
  <si>
    <t>peopleandculture@carlislehealth.com.au</t>
  </si>
  <si>
    <t>Subject:</t>
  </si>
  <si>
    <t>Realignment of your Award level</t>
  </si>
  <si>
    <t>Contents:</t>
  </si>
  <si>
    <t>Please find attached correspondence regarding realignment of your Award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</si>
</sst>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65" fontId="0" fillId="0" borderId="0" xfId="0" applyNumberFormat="1"/>
    <xf numFmtId="165" fontId="2" fillId="0" borderId="0" xfId="0" applyNumberFormat="1" applyFont="1"/>
    <xf numFmtId="0" fontId="3" fillId="0" borderId="0" xfId="0" applyFont="1" applyAlignment="1">
      <alignment wrapText="1"/>
    </xf>
  </cellXfs>
  <cellStyles count="2">
    <cellStyle name="Normal" xfId="0" builtinId="0"/>
    <cellStyle name="Normal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4324350</xdr:colOff>
      <xdr:row>0</xdr:row>
      <xdr:rowOff>0</xdr:rowOff>
    </xdr:from>
    <xdr:to>
      <xdr:col>0</xdr:col>
      <xdr:colOff>6019800</xdr:colOff>
      <xdr:row>2</xdr:row>
      <xdr:rowOff>121285</xdr:rowOff>
    </xdr:to>
    <xdr:pic>
      <xdr:nvPicPr>
        <xdr:cNvPr id="2" name="Picture 1" descr="A picture containing text, clipart, tableware&#10;&#10;Description automatically generate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0"/>
          <a:ext cx="1695450" cy="50419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450850</xdr:colOff>
          <xdr:row>2</xdr:row>
          <xdr:rowOff>6350</xdr:rowOff>
        </xdr:from>
        <xdr:to>
          <xdr:col>11</xdr:col>
          <xdr:colOff>25400</xdr:colOff>
          <xdr:row>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AFD7622-BC7B-80C5-CF8A-A265D1AF1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4"/>
  <sheetViews>
    <sheetView tabSelected="1" topLeftCell="A4" zoomScaleNormal="100" workbookViewId="0">
      <selection activeCell="A8" sqref="A8"/>
    </sheetView>
  </sheetViews>
  <sheetFormatPr defaultRowHeight="14.5" x14ac:dyDescent="0.35"/>
  <cols>
    <col min="1" max="1" width="91.453125" customWidth="1"/>
    <col min="11" max="11" width="12.453125" bestFit="1" customWidth="1"/>
  </cols>
  <sheetData>
    <row r="1" spans="1:11" x14ac:dyDescent="0.35">
      <c r="J1" t="s">
        <v>0</v>
      </c>
      <c r="K1" t="str">
        <f>VLOOKUP(J1,Data!A:F,2,FALSE)&amp; " "&amp;VLOOKUP(J1,Data!A:F,3,FALSE)</f>
        <v xml:space="preserve"> </v>
      </c>
    </row>
    <row r="2" spans="1:11" x14ac:dyDescent="0.35">
      <c r="K2">
        <f>VLOOKUP(J1,Data!A:F,4,FALSE)</f>
        <v>0</v>
      </c>
    </row>
    <row r="3" spans="1:11" x14ac:dyDescent="0.35">
      <c r="K3">
        <f>VLOOKUP(J1,Data!A:F,5,FALSE)</f>
        <v>0</v>
      </c>
    </row>
    <row r="4" spans="1:11" x14ac:dyDescent="0.35">
      <c r="K4" t="str">
        <f>VLOOKUP(J1,Data!A:H,8,FALSE)</f>
        <v>HPSS HP L4 PP1</v>
      </c>
    </row>
    <row r="8" spans="1:11" x14ac:dyDescent="0.35">
      <c r="A8" s="4">
        <f ca="1">TODAY()</f>
        <v>46226</v>
      </c>
    </row>
    <row r="10" spans="1:11" x14ac:dyDescent="0.35">
      <c r="A10" t="s">
        <v>1</v>
      </c>
    </row>
    <row r="12" spans="1:11" x14ac:dyDescent="0.35">
      <c r="A12" t="str">
        <f>"Dear "&amp;K1</f>
        <v xml:space="preserve">Dear  </v>
      </c>
    </row>
    <row r="14" spans="1:11" x14ac:dyDescent="0.35">
      <c r="A14" t="s">
        <v>2</v>
      </c>
    </row>
    <row r="16" spans="1:11" ht="43.25" customHeight="1" x14ac:dyDescent="0.35">
      <c r="A16" s="3" t="str">
        <f>"Carlisle has conducted a review of all Award levels across the business to ensure that the expectations of your role aligned to the most appropriate Award level. As a result of this process Carlisle proposes to align your Award level to: "&amp;K4&amp;""</f>
        <v>Carlisle has conducted a review of all Award levels across the business to ensure that the expectations of your role aligned to the most appropriate Award level. As a result of this process Carlisle proposes to align your Award level to: HPSS HP L4 PP1</v>
      </c>
    </row>
    <row r="18" spans="1:1" ht="43.25" customHeight="1" x14ac:dyDescent="0.35">
      <c r="A18" s="7" t="s">
        <v>3</v>
      </c>
    </row>
    <row r="20" spans="1:1" x14ac:dyDescent="0.35">
      <c r="A20" s="3" t="s">
        <v>4</v>
      </c>
    </row>
    <row r="22" spans="1:1" ht="28.75" customHeight="1" x14ac:dyDescent="0.35">
      <c r="A22" s="3"/>
    </row>
    <row r="24" spans="1:1" ht="28.75" customHeight="1" x14ac:dyDescent="0.35">
      <c r="A24" s="3" t="s">
        <v>5</v>
      </c>
    </row>
    <row r="26" spans="1:1" ht="28.75" customHeight="1" x14ac:dyDescent="0.35">
      <c r="A26" s="3" t="s">
        <v>6</v>
      </c>
    </row>
    <row r="28" spans="1:1" ht="58" x14ac:dyDescent="0.35">
      <c r="A28" s="3" t="s">
        <v>7</v>
      </c>
    </row>
    <row r="32" spans="1:1" x14ac:dyDescent="0.35">
      <c r="A32" t="s">
        <v>8</v>
      </c>
    </row>
    <row r="33" spans="1:1" x14ac:dyDescent="0.35">
      <c r="A33" t="s">
        <v>9</v>
      </c>
    </row>
    <row r="34" spans="1:1" x14ac:dyDescent="0.35">
      <c r="A34" t="s">
        <v>10</v>
      </c>
    </row>
  </sheetData>
  <dataValidations count="1">
    <dataValidation type="list" allowBlank="1" showInputMessage="1" showErrorMessage="1" sqref="J1" xr:uid="{00000000-0002-0000-0000-000000000000}">
      <formula1>ELIST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F32" sqref="F32"/>
    </sheetView>
  </sheetViews>
  <sheetFormatPr defaultRowHeight="14.5" x14ac:dyDescent="0.35"/>
  <cols>
    <col min="2" max="2" width="10" bestFit="1" customWidth="1"/>
    <col min="3" max="3" width="12" bestFit="1" customWidth="1"/>
    <col min="4" max="5" width="12.90625" style="5" bestFit="1" customWidth="1"/>
    <col min="6" max="6" width="50.6328125" customWidth="1"/>
    <col min="7" max="7" width="10.08984375" bestFit="1" customWidth="1"/>
  </cols>
  <sheetData>
    <row r="1" spans="1:14" x14ac:dyDescent="0.35">
      <c r="A1" t="s">
        <v>11</v>
      </c>
      <c r="B1" s="2" t="s">
        <v>12</v>
      </c>
      <c r="C1" s="2" t="s">
        <v>13</v>
      </c>
      <c r="D1" s="6" t="s">
        <v>14</v>
      </c>
      <c r="E1" s="6" t="s">
        <v>15</v>
      </c>
      <c r="F1" s="1" t="s">
        <v>16</v>
      </c>
      <c r="G1" s="1" t="s">
        <v>17</v>
      </c>
      <c r="H1" s="1" t="s">
        <v>18</v>
      </c>
      <c r="J1" t="s">
        <v>19</v>
      </c>
      <c r="K1" t="s">
        <v>20</v>
      </c>
    </row>
    <row r="2" spans="1:14" x14ac:dyDescent="0.35">
      <c r="A2" t="s">
        <v>0</v>
      </c>
      <c r="H2" t="s">
        <v>21</v>
      </c>
    </row>
    <row r="3" spans="1:14" x14ac:dyDescent="0.35">
      <c r="A3" t="s">
        <v>22</v>
      </c>
      <c r="H3" t="s">
        <v>21</v>
      </c>
    </row>
    <row r="5" spans="1:14" x14ac:dyDescent="0.35">
      <c r="M5" t="s">
        <v>23</v>
      </c>
      <c r="N5" t="s">
        <v>24</v>
      </c>
    </row>
  </sheetData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PDF">
                <anchor moveWithCells="1" sizeWithCells="1">
                  <from>
                    <xdr:col>8</xdr:col>
                    <xdr:colOff>450850</xdr:colOff>
                    <xdr:row>2</xdr:row>
                    <xdr:rowOff>6350</xdr:rowOff>
                  </from>
                  <to>
                    <xdr:col>11</xdr:col>
                    <xdr:colOff>25400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"/>
  <sheetViews>
    <sheetView workbookViewId="0">
      <selection activeCell="B1" sqref="B1"/>
    </sheetView>
  </sheetViews>
  <sheetFormatPr defaultRowHeight="14.5" x14ac:dyDescent="0.35"/>
  <sheetData>
    <row r="1" spans="1:2" x14ac:dyDescent="0.35">
      <c r="A1" t="s">
        <v>25</v>
      </c>
      <c r="B1" t="s">
        <v>26</v>
      </c>
    </row>
    <row r="3" spans="1:2" x14ac:dyDescent="0.35">
      <c r="A3" t="s">
        <v>27</v>
      </c>
      <c r="B3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Letter</vt:lpstr>
      <vt:lpstr>Data</vt:lpstr>
      <vt:lpstr>Other</vt:lpstr>
      <vt:lpstr>Letter!Print_Area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Young</dc:creator>
  <cp:lastModifiedBy>sahil kashyap</cp:lastModifiedBy>
  <cp:lastPrinted>2025-07-11T01:00:18Z</cp:lastPrinted>
  <dcterms:created xsi:type="dcterms:W3CDTF">2022-06-27T04:04:43Z</dcterms:created>
  <dcterms:modified xsi:type="dcterms:W3CDTF">2026-07-23T17:52:33Z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0x0101003A5C30C83F1128428BD007909D19D4B6</vt:lpwstr>
  </property>
  <property fmtid="{D5CDD505-2E9C-101B-9397-08002B2CF9AE}" pid="3" name="Order">
    <vt:r8>99600</vt:r8>
  </property>
  <property fmtid="{D5CDD505-2E9C-101B-9397-08002B2CF9AE}" pid="4" name="GUID">
    <vt:lpwstr>9f5ac10c-80de-424c-a871-b8dad0e04a95</vt:lpwstr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TemplateUrl">
    <vt:lpwstr/>
  </property>
  <property fmtid="{D5CDD505-2E9C-101B-9397-08002B2CF9AE}" pid="10" name="ComplianceAssetId">
    <vt:lpwstr/>
  </property>
  <property fmtid="{D5CDD505-2E9C-101B-9397-08002B2CF9AE}" pid="11" name="MediaServiceImageTags">
    <vt:lpwstr/>
  </property>
</Properties>
</file>